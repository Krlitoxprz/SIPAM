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arBeck-PhD\USCO\Personal\Decanatura\2025\Practicas Extramuros\"/>
    </mc:Choice>
  </mc:AlternateContent>
  <xr:revisionPtr revIDLastSave="0" documentId="13_ncr:1_{3E4D47B6-5C30-4C25-A2CF-C312CA2944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EN 2022-2" sheetId="1" r:id="rId1"/>
    <sheet name="TEORICO - PRACTICOS" sheetId="3" r:id="rId2"/>
  </sheets>
  <definedNames>
    <definedName name="_xlnm._FilterDatabase" localSheetId="1" hidden="1">'TEORICO - PRACTICOS'!$A$1:$W$163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3" l="1"/>
  <c r="M3" i="3"/>
  <c r="V3" i="3"/>
  <c r="V4" i="3"/>
  <c r="V5" i="3"/>
  <c r="V6" i="3"/>
  <c r="V7" i="3"/>
  <c r="V8" i="3"/>
  <c r="M9" i="3"/>
  <c r="V9" i="3"/>
  <c r="V10" i="3"/>
  <c r="V11" i="3"/>
  <c r="V12" i="3"/>
  <c r="V13" i="3"/>
  <c r="V14" i="3"/>
  <c r="V15" i="3"/>
  <c r="V16" i="3"/>
  <c r="V17" i="3"/>
  <c r="V18" i="3"/>
  <c r="M19" i="3"/>
  <c r="V19" i="3"/>
  <c r="M20" i="3"/>
  <c r="V20" i="3"/>
  <c r="V21" i="3"/>
  <c r="V22" i="3"/>
  <c r="M23" i="3"/>
  <c r="V23" i="3"/>
  <c r="V24" i="3"/>
  <c r="M25" i="3"/>
  <c r="V25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M46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M73" i="3"/>
  <c r="V73" i="3"/>
  <c r="M74" i="3"/>
  <c r="V74" i="3"/>
  <c r="M75" i="3"/>
  <c r="V75" i="3"/>
  <c r="V76" i="3"/>
  <c r="M77" i="3"/>
  <c r="M78" i="3"/>
  <c r="V78" i="3"/>
  <c r="V79" i="3"/>
  <c r="M80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M101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M117" i="3"/>
  <c r="V117" i="3"/>
  <c r="M118" i="3"/>
  <c r="V118" i="3"/>
  <c r="V119" i="3"/>
  <c r="V120" i="3"/>
  <c r="V121" i="3"/>
  <c r="M122" i="3"/>
  <c r="V122" i="3"/>
  <c r="T123" i="3"/>
  <c r="V123" i="3"/>
  <c r="V124" i="3"/>
  <c r="V125" i="3"/>
  <c r="V126" i="3"/>
  <c r="V127" i="3"/>
  <c r="V128" i="3"/>
  <c r="V129" i="3"/>
  <c r="V130" i="3"/>
  <c r="V131" i="3"/>
  <c r="M132" i="3"/>
  <c r="V132" i="3"/>
  <c r="M133" i="3"/>
  <c r="V133" i="3"/>
  <c r="M134" i="3"/>
  <c r="V134" i="3"/>
  <c r="M135" i="3"/>
  <c r="V135" i="3"/>
  <c r="V136" i="3"/>
  <c r="V137" i="3"/>
  <c r="M138" i="3"/>
  <c r="V138" i="3"/>
  <c r="V139" i="3"/>
  <c r="M140" i="3"/>
  <c r="V140" i="3"/>
  <c r="V141" i="3"/>
  <c r="M142" i="3"/>
  <c r="V142" i="3"/>
  <c r="V143" i="3"/>
  <c r="M144" i="3"/>
  <c r="V144" i="3"/>
  <c r="V145" i="3"/>
  <c r="V146" i="3"/>
  <c r="V148" i="3"/>
  <c r="V149" i="3"/>
  <c r="V150" i="3"/>
  <c r="V151" i="3"/>
  <c r="V152" i="3"/>
  <c r="V153" i="3"/>
  <c r="V154" i="3"/>
  <c r="V155" i="3"/>
  <c r="M156" i="3"/>
  <c r="V156" i="3"/>
  <c r="V157" i="3"/>
  <c r="V158" i="3"/>
  <c r="V159" i="3"/>
  <c r="W159" i="3"/>
  <c r="V160" i="3"/>
  <c r="W160" i="3"/>
  <c r="S162" i="3"/>
  <c r="G43" i="1" s="1"/>
  <c r="R162" i="3"/>
  <c r="F43" i="1" s="1"/>
  <c r="Q162" i="3"/>
  <c r="E43" i="1" s="1"/>
  <c r="P162" i="3"/>
  <c r="T162" i="3"/>
  <c r="H43" i="1" s="1"/>
  <c r="K26" i="1"/>
  <c r="J26" i="1"/>
  <c r="I26" i="1"/>
  <c r="H26" i="1"/>
  <c r="G26" i="1"/>
  <c r="K16" i="1"/>
  <c r="N7" i="1"/>
  <c r="N6" i="1"/>
  <c r="N5" i="1"/>
  <c r="B5" i="1"/>
  <c r="N4" i="1"/>
  <c r="B4" i="1"/>
  <c r="B8" i="1" s="1"/>
  <c r="N3" i="1"/>
  <c r="V162" i="3" l="1"/>
  <c r="I43" i="1" s="1"/>
  <c r="D43" i="1"/>
  <c r="W162" i="3" l="1"/>
  <c r="J43" i="1" s="1"/>
  <c r="K43" i="1" s="1"/>
</calcChain>
</file>

<file path=xl/sharedStrings.xml><?xml version="1.0" encoding="utf-8"?>
<sst xmlns="http://schemas.openxmlformats.org/spreadsheetml/2006/main" count="1594" uniqueCount="817">
  <si>
    <t>SEDE</t>
  </si>
  <si>
    <t>FACULTAD</t>
  </si>
  <si>
    <t>PROGRAMA</t>
  </si>
  <si>
    <t>NÚMERO DE PRACTICAS</t>
  </si>
  <si>
    <t>TEORICO</t>
  </si>
  <si>
    <t xml:space="preserve">TEORICO PRACTICO </t>
  </si>
  <si>
    <t>PRACTICO</t>
  </si>
  <si>
    <t>PRACTICA PEDAGOGICA</t>
  </si>
  <si>
    <t>TOTAL POR FACULTAD</t>
  </si>
  <si>
    <t>Total</t>
  </si>
  <si>
    <t>CARACTER DE LOS CURSOS CON SOLICITUD PRÁCTICAS EXTRAMUROS</t>
  </si>
  <si>
    <t>NEIVA</t>
  </si>
  <si>
    <t>EDUCACIÓN</t>
  </si>
  <si>
    <t>LICENCIATURA EN EDUCACIÓN ARTÍSTICA</t>
  </si>
  <si>
    <t>CIENCIAS SOCIALES Y HUMANAS</t>
  </si>
  <si>
    <t>LICENCIATURA EN EDUCACIÓN INFANTIL</t>
  </si>
  <si>
    <t>CIENCIAS JURIDICAS Y POLITICAS</t>
  </si>
  <si>
    <t>LICENCIATURA EN CIENCIAS NATURALES Y EDUCACIÓN AMBIENTAL</t>
  </si>
  <si>
    <t>INGENIERIA</t>
  </si>
  <si>
    <t>LICENCIATURA EN CIENCIAS SOCIALES</t>
  </si>
  <si>
    <t>CIENCIAS EXACTAS Y NATURALES</t>
  </si>
  <si>
    <t>LICENCIATURA EN MATEMATICAS</t>
  </si>
  <si>
    <t>ECONOMÍA Y ADMINISTRACIÓN</t>
  </si>
  <si>
    <t>LICENCIATURA EN LITERATURA Y LENGUA CASTELLANA</t>
  </si>
  <si>
    <t>SALUD</t>
  </si>
  <si>
    <t>LICENCIATURA EN EDUCACIÓN FISICA, RECREACIÓN Y DEPORTES</t>
  </si>
  <si>
    <t>TOTALES</t>
  </si>
  <si>
    <t>DEPARTAMENTO DE PSICOPEDAGOGIA</t>
  </si>
  <si>
    <t>ANTROPOLOGIA</t>
  </si>
  <si>
    <t>PITALITO</t>
  </si>
  <si>
    <t>COMUNICACIÓN SOCIAL Y PERIODISMO</t>
  </si>
  <si>
    <t>PSICOLOGÍA</t>
  </si>
  <si>
    <t>CIENCIA POLITICA</t>
  </si>
  <si>
    <t>INGENIERÍA AGROINDUSTRIAL</t>
  </si>
  <si>
    <t>GARZÓN</t>
  </si>
  <si>
    <t>INGENIERÍA AGRÍCOLA</t>
  </si>
  <si>
    <t>LA PLATA</t>
  </si>
  <si>
    <t>INGENIERÍA ELECTRÓNICA</t>
  </si>
  <si>
    <t>INGENIERÍA CIVIL</t>
  </si>
  <si>
    <t>INGENIERÍA DE PETROLEOS</t>
  </si>
  <si>
    <t>BIOLOGIA APLICADA</t>
  </si>
  <si>
    <t>Nota:</t>
  </si>
  <si>
    <t>7 Eliminadas por ajuste del programa de Lic Ciencias Naturales y Educación Ambiental</t>
  </si>
  <si>
    <t>Eliminación del número de días de las prácticas del Programa de Lic en Educación Física, Recreación y Deportes</t>
  </si>
  <si>
    <t>No. de solicitudes</t>
  </si>
  <si>
    <t>COMBUSTIBLE</t>
  </si>
  <si>
    <t>PEAJES</t>
  </si>
  <si>
    <t>PARQUEADERO</t>
  </si>
  <si>
    <t>IMPREVISTOS</t>
  </si>
  <si>
    <t>VALOR BUS EXTERNO</t>
  </si>
  <si>
    <t>COSTO TOTAL DÍAS VIATICOS DOCENTES</t>
  </si>
  <si>
    <t>TOTAL</t>
  </si>
  <si>
    <t>CONSOLIDADO</t>
  </si>
  <si>
    <t>$22.730.000</t>
  </si>
  <si>
    <t>$11.515.000</t>
  </si>
  <si>
    <t>$2.815.000</t>
  </si>
  <si>
    <t>$481.370.000</t>
  </si>
  <si>
    <t>$73.729.514</t>
  </si>
  <si>
    <t>$592.159.514</t>
  </si>
  <si>
    <t>TEORICO-PRACTICO</t>
  </si>
  <si>
    <t>$20.880.000</t>
  </si>
  <si>
    <t>$10.783.000</t>
  </si>
  <si>
    <t>$2.620.000</t>
  </si>
  <si>
    <t>$382.240.000</t>
  </si>
  <si>
    <t>$62.569.514</t>
  </si>
  <si>
    <t>$479.092.514</t>
  </si>
  <si>
    <t>$1.850.000</t>
  </si>
  <si>
    <t>$732.000</t>
  </si>
  <si>
    <t>$195.000</t>
  </si>
  <si>
    <t>$80.920.000</t>
  </si>
  <si>
    <t>$9.000.000</t>
  </si>
  <si>
    <t>$92.697.000</t>
  </si>
  <si>
    <t>GRANJA EXPERIMENTAL TODAS LAS SEDES</t>
  </si>
  <si>
    <t>$18.210.000</t>
  </si>
  <si>
    <t>$960.000</t>
  </si>
  <si>
    <t>$19.170.000</t>
  </si>
  <si>
    <t xml:space="preserve">Aprobadas en Consejo Académico </t>
  </si>
  <si>
    <t>AJUSTADO</t>
  </si>
  <si>
    <t>Reducción con los ajustes realizados</t>
  </si>
  <si>
    <t xml:space="preserve">TRAZABILIDAD </t>
  </si>
  <si>
    <t>1.</t>
  </si>
  <si>
    <t>Mediante Circular de Programación No. 022 del 23 de mayo de 2022, se establecio como fecha limite el 5 de agosto para la remisión de las solicitudes de practicas extramuros con previa aval de los Consejos de Facultad</t>
  </si>
  <si>
    <t>2.</t>
  </si>
  <si>
    <t>El 29 de agosto de 2022 mediante correo electrónico se envio a las Secretarías Académicas de las diferentes Facultad el consolidado de las prácticas extramuros y se solicito se revisarán las solicitudes con los respectivos Jefes de Programa, para poder dar tramite con el presupuesto disponible</t>
  </si>
  <si>
    <t>3.</t>
  </si>
  <si>
    <t>Mediante Circular No. 038 del 4 de octubre de 2022, se solicitó nuevamente la revisión y ajuste de las solicitudes, teniendo en cuenta el presupuesto asignado</t>
  </si>
  <si>
    <t>Resultado de la Circular No. 038</t>
  </si>
  <si>
    <t xml:space="preserve">Ajuste de ruta de dos (2) prácticas de la Lic en Ciencias Naturales y Educación Ambiental, disminuyendo el costo </t>
  </si>
  <si>
    <t>Unificación de una práctica del programa de Ing de Petróleos, reduciendo una práctica y disminuyendo el costo.</t>
  </si>
  <si>
    <t>Eliminación de tres (3) del programa de Antropología, disminuyendo el costo.</t>
  </si>
  <si>
    <t>4.</t>
  </si>
  <si>
    <t>Unificación de cinco (5) prácticas del programa de Biología Aplicada, disminuyendo el costo.</t>
  </si>
  <si>
    <t xml:space="preserve">NOVEDADES </t>
  </si>
  <si>
    <t>El 21 de septiembre de 2022, mediante Memorando No. 005 el Consejo de Facultad de Economía y Administración, envío el aval de cuatro (4) nuevas solicitudes de prácticas extramuros para el programa de Administración Turistica y Hotelera.</t>
  </si>
  <si>
    <t>El 28 de septiembre de 2022, mediante Memorando No. 235 el Consejo de Facultad de Economía y Administración, envío el aval de una (1) solicitud de prácticas extramuros para el programa de Administración de Empresas.</t>
  </si>
  <si>
    <t>NOMBRE DE LA PRACTICA</t>
  </si>
  <si>
    <t>NUMERO DEL CURSO</t>
  </si>
  <si>
    <t>CODIGO ALFANUMERICO</t>
  </si>
  <si>
    <t>NOMBRE DE LA ASIGNATURA</t>
  </si>
  <si>
    <t>NOMBRE DEL DOCENTE</t>
  </si>
  <si>
    <t>TIPO VINCULACIÓN DOCENTE</t>
  </si>
  <si>
    <t>FECHA INICIO (dÍa/mes/año)</t>
  </si>
  <si>
    <t>FECHA / FIN (dÍa/mes/año)</t>
  </si>
  <si>
    <t>RUTA</t>
  </si>
  <si>
    <t>DURAC. EN DIAS</t>
  </si>
  <si>
    <t>No. DE ALUMNOS</t>
  </si>
  <si>
    <t>OBSERVACIONES</t>
  </si>
  <si>
    <t>CONDUCTOR</t>
  </si>
  <si>
    <t>COSTO VALOR DÍA / DOCENTE</t>
  </si>
  <si>
    <t xml:space="preserve">NEIVA </t>
  </si>
  <si>
    <t xml:space="preserve"> CIENCIAS NATURALES -BIOLOGIA APLICADA </t>
  </si>
  <si>
    <t xml:space="preserve">ORIGEN DEL UNIVERSO- CONCEPTOS Y OBSERVACIONES </t>
  </si>
  <si>
    <t>BEBIAPL005</t>
  </si>
  <si>
    <t xml:space="preserve">BIOLOGIA CELULAR 1 </t>
  </si>
  <si>
    <t xml:space="preserve">MAURICIO CARILLO AVILA </t>
  </si>
  <si>
    <t>DE PLANTA DOCENTE</t>
  </si>
  <si>
    <t>NEIVA.- VILLAVIEJA-NEIVA</t>
  </si>
  <si>
    <t>EDGAR ANDRES BERNAL CATRO</t>
  </si>
  <si>
    <t>NOMBRAMIENTO OCASIONAL DOCENTE</t>
  </si>
  <si>
    <t xml:space="preserve">GUISELLE NEGOVER  BRIÑEZ VASQUEZ </t>
  </si>
  <si>
    <t>CATEDRA VISITANTE DOCENTE</t>
  </si>
  <si>
    <t>Nelson Valbuena</t>
  </si>
  <si>
    <t>BEBIAPL049</t>
  </si>
  <si>
    <t>NEIVA-BOGOTA  MUSEO DE HISTORIA NATURAL  UNAL-SAN ANTONIO DEL TEQUENDAMA FUNDACION ZOOLOGICO DE SANTA CRUZ-NEIVA</t>
  </si>
  <si>
    <t xml:space="preserve">DIANA POLANIA CAVIEDES </t>
  </si>
  <si>
    <t>BIOLOGIA CELULAR 2</t>
  </si>
  <si>
    <t xml:space="preserve">  </t>
  </si>
  <si>
    <t xml:space="preserve">IMPORTANCIA DE COLECCIONES BOTANICAS " JARDINES BOTANICOS Y HERBARIOS" </t>
  </si>
  <si>
    <t>BEBIAPL013</t>
  </si>
  <si>
    <t>BOTANICA</t>
  </si>
  <si>
    <t xml:space="preserve">CARLOS ALBERTO MENDEZ PUENTES </t>
  </si>
  <si>
    <t xml:space="preserve">NEIVA-BOGOTA-MUSEODE HISTORIA NATURAL-HERBRIO UNIVERSIDAD NACIONAL DE COLOMBIA- JARDIN BOTANICO DE BOGOTA- NEIVA </t>
  </si>
  <si>
    <t>VISITA CENTRO DE INVESTIGACION DE BOSQUE SECO TROPICAL-ATTALEA</t>
  </si>
  <si>
    <t>FEBIAPL020</t>
  </si>
  <si>
    <t xml:space="preserve">VALORACION DE ECOSISTEMAS </t>
  </si>
  <si>
    <t>NEIVA-AREA DE COMPESACION AMBIENTAL  DE LA CENTRAL HIDROELECTRICA DEL  QUIMBO EN LA VEREDA PEDERNAL DEL MUNICIPIO DE AGRADO-NEIVA</t>
  </si>
  <si>
    <t xml:space="preserve">ADAPTACION DE LOS INVERTEBRADOS A LAS CONDICIONES DE CAVERNA PARQUE NACIONAL NATURAL CUEVA DE LOS GUACHAROS </t>
  </si>
  <si>
    <t>BEBIAPL016</t>
  </si>
  <si>
    <t>BIOLOGIA DE INVERTEBRADOS</t>
  </si>
  <si>
    <t>JUAN CARLOS VALENZUELA</t>
  </si>
  <si>
    <t>Alberto Mora</t>
  </si>
  <si>
    <t xml:space="preserve">ESTUDIO DE BIOLOGIA DE LA CONSERVACION </t>
  </si>
  <si>
    <t>BEBIAPL021</t>
  </si>
  <si>
    <t xml:space="preserve">BIOLOGIA DE LA CONSERVACION </t>
  </si>
  <si>
    <t>NEIVA-RESERVA JUANCHACO,  MUNICIPIO DE BUENAVENTURA CHOCO- NEIVA</t>
  </si>
  <si>
    <t>FEBIAPL015</t>
  </si>
  <si>
    <t>NEIVA-TESALIA-LA ARGENTINA-PITALITO-PARQUE NACIONAL NATURAL PURACE-NEIVA</t>
  </si>
  <si>
    <t>RECONOCIMIENTO DE LA DIVERSIDAD BIOLOGICA</t>
  </si>
  <si>
    <t>BEBIAPL028</t>
  </si>
  <si>
    <t>GENETICA</t>
  </si>
  <si>
    <t>WILSON RODRIGO CRUZ FLOR</t>
  </si>
  <si>
    <t>NEIVA-LA TRIBUNA-NEIVA</t>
  </si>
  <si>
    <t xml:space="preserve">DIVERSIDAD DE VERTEBRADOS </t>
  </si>
  <si>
    <t>BEBIAPL012</t>
  </si>
  <si>
    <t xml:space="preserve">BIOLOGIA DE VERTEBRADOS </t>
  </si>
  <si>
    <t xml:space="preserve">CAROLINA LOPEZ CASTAÑEDA </t>
  </si>
  <si>
    <t>NEIVA-SANTA MARIA- EL PARAISO-SAN BENITO-LA VEGA GUASIMOS-NEIVA</t>
  </si>
  <si>
    <t>BEEXnull01</t>
  </si>
  <si>
    <t>ECOLOGIA</t>
  </si>
  <si>
    <t>SISTEMA DE PRODUCCION ACUICOLA</t>
  </si>
  <si>
    <t>FEBIAPL016</t>
  </si>
  <si>
    <t>PRODUCCION ACUICOLA</t>
  </si>
  <si>
    <t>RUBEN DARIO VALBUENA VILLAREAL</t>
  </si>
  <si>
    <t>NEIVA- GARZON- NEIVA</t>
  </si>
  <si>
    <t xml:space="preserve">Desierio Olarte </t>
  </si>
  <si>
    <t xml:space="preserve">RECONOCIMIENTO GEOLOGICO GENERAL SUR DE COLOMBIA </t>
  </si>
  <si>
    <t>BEBIAPL054</t>
  </si>
  <si>
    <t>GEOCIENCIAS</t>
  </si>
  <si>
    <t xml:space="preserve">INGRID NATALIA MUÑOZ </t>
  </si>
  <si>
    <t xml:space="preserve">NEIVA-POPAYAN (PASTO)- NEIVA </t>
  </si>
  <si>
    <t>RECONOCIMIENTO DE ESPERMATOFICOS EN ECOSISTEMAS SURCOLOMBIANO</t>
  </si>
  <si>
    <t>BEBIAPL051</t>
  </si>
  <si>
    <t>TAXONOMIA DE ESPERMATOFITOS</t>
  </si>
  <si>
    <t>NEIVA-PALESTINA-FINCA EL ENCANTO-CUEVA DE LOS GUACHAROS-NEIVA</t>
  </si>
  <si>
    <t xml:space="preserve">ECOSISTEMAS ESTRATEGICOS Y PROBLEMATICAS </t>
  </si>
  <si>
    <t>CARMEN ELENA BARRAGAN RUIZ</t>
  </si>
  <si>
    <t>NEIVA-AIPE RESERVAS NATURALES DE BOSQUE SECO TROPICAL- FUNDACION ASOBOSPA-NEIVA</t>
  </si>
  <si>
    <t>FEBIAPL003</t>
  </si>
  <si>
    <t>CAMPO Y ECOLOGIA</t>
  </si>
  <si>
    <t>FEBIAPL030</t>
  </si>
  <si>
    <t>ECOLOGIA DE CAMPO</t>
  </si>
  <si>
    <t>VEREDA MEREMBERG</t>
  </si>
  <si>
    <t>ADMINISTRACIÓN DE EMPRESAS</t>
  </si>
  <si>
    <t xml:space="preserve">PRÁCTICA EMPRESARIAL </t>
  </si>
  <si>
    <t>PRÁCTICA ADMINISTRATIVA</t>
  </si>
  <si>
    <t>ALFONSO MANRIQUE MEDINA</t>
  </si>
  <si>
    <t>NEIVA -IBAGUE-ARMENIA-PEREIRA-ARMENIA - IBAGUÉ - NEIVA</t>
  </si>
  <si>
    <t>ADMINISTRACION TURISTICA Y HOTELERA</t>
  </si>
  <si>
    <t xml:space="preserve">EXPERIENCIAS VARIADAS EN ENOTURISMO – CASA GRAJALES-VALLE DEL CAUCA                 
</t>
  </si>
  <si>
    <t>FFECTH06</t>
  </si>
  <si>
    <t>ENOLOGIA</t>
  </si>
  <si>
    <t>MARIA SIÑERIZ ALVAREZ</t>
  </si>
  <si>
    <t>"DÍA 1: PITALITO - NEIVA-PEREIRA- CASA GRAJALES DÍA 2: ARMENIA-PARQUE DEL CAFÉ DÍA 3: SALENTO-UKUMARÍ- PEREIRA-NEIVA-PITALITO "</t>
  </si>
  <si>
    <t xml:space="preserve">Desierio Olarte Tovar - Nelson Perdomo </t>
  </si>
  <si>
    <t xml:space="preserve">Nelson Valbuena - Jairo Gonzalez </t>
  </si>
  <si>
    <t>ANTROPOLOGIA Y ARQUEOLOGIA</t>
  </si>
  <si>
    <t xml:space="preserve">ZONA DE VIDA,ECOSISTEMA TERRESTRES Y ACUATICOS, RECONOCIMIENTO DE FACTORES AMBIENTALES Y BIOTICOS, E INTERACCION CON LA COMUNIDAD HUMANA </t>
  </si>
  <si>
    <t>BECSHAN12</t>
  </si>
  <si>
    <t xml:space="preserve">ECOLOGIA Y SOCIEDAD </t>
  </si>
  <si>
    <t xml:space="preserve">VLADYMEER LEON CUELLAR </t>
  </si>
  <si>
    <t>CATEDRA DOCENTE</t>
  </si>
  <si>
    <t xml:space="preserve">NEIVA-CUENCA HIDROGRAFICA RIO LAS CEIBAS </t>
  </si>
  <si>
    <t>INDUSTRIA TURISTICA Y CAMBIO SOCIOCULTURAL EN EL DESIERTO DE LA TATACOA |</t>
  </si>
  <si>
    <t>172169-172166</t>
  </si>
  <si>
    <t>BECSHAN06 BECSHAN05</t>
  </si>
  <si>
    <t xml:space="preserve">PENSAMIENTO ANTROPOLOGICO I E INTRODUCCION A LA ARQUEOLOGIA </t>
  </si>
  <si>
    <t xml:space="preserve">NEIVA-MUNICIPIO DE VILLAVIEJA- DESIERTO LA TATACOA </t>
  </si>
  <si>
    <t>172202-172199</t>
  </si>
  <si>
    <t>BECSHAN17 BECSHAN16</t>
  </si>
  <si>
    <t>ARQUEOLOGIA SOCIAL Y TEORIA SOCIAL I</t>
  </si>
  <si>
    <t>NEIVA,HUILA-HONDA,TOLIMA</t>
  </si>
  <si>
    <t>Desiderio Olarte</t>
  </si>
  <si>
    <t>COMUNICACION SOCIAL Y PERIODISMO</t>
  </si>
  <si>
    <t>ACERCAMIENTO A LAS EXPERIENCIAS TRANSMEDIA</t>
  </si>
  <si>
    <t>BECSHCS28</t>
  </si>
  <si>
    <t>LENGUAJE Y NARRATIVA TRANSMEDIA</t>
  </si>
  <si>
    <t>DIEGO FERNANDO ACHURRI SIERRA</t>
  </si>
  <si>
    <t>NEIVA-BOGOTA-NEIVA</t>
  </si>
  <si>
    <t xml:space="preserve">Desiderio Olarte </t>
  </si>
  <si>
    <t>NUEVAS FORMAS DE NARRAR</t>
  </si>
  <si>
    <t>BECSHCS19</t>
  </si>
  <si>
    <t>COMINICACION DIGITAL</t>
  </si>
  <si>
    <t>NEIVA-MEDELLIN-NEIVA</t>
  </si>
  <si>
    <t xml:space="preserve">HUILA AUDIOVISUAL </t>
  </si>
  <si>
    <t>172778-172784</t>
  </si>
  <si>
    <t>BECSHCS09</t>
  </si>
  <si>
    <t>TALLER IMAGEN FIJA G01 Y G02</t>
  </si>
  <si>
    <t>FERNANDO CHARRY GONZALEZ</t>
  </si>
  <si>
    <t>VILLAVIEJA Y DESIERTO LA TATACOA</t>
  </si>
  <si>
    <t xml:space="preserve">PROCESOS SOCIALES Y NARRATIVAS TRANSMEDIA EN CALI </t>
  </si>
  <si>
    <t>LENGUAJES Y NARRATIVAS TRANSMEDIA- SEDE PITALITO</t>
  </si>
  <si>
    <t>OSCAR IVAN FORERO MOSQUERA</t>
  </si>
  <si>
    <t>NEIVA-PITALITO-CALI( RECORRIDO INTERNO)-PITALITO-NEIVA</t>
  </si>
  <si>
    <t>Desiderio Olarte - Nelson Perdomo</t>
  </si>
  <si>
    <t>PITALITO- NEIVA</t>
  </si>
  <si>
    <t>ARTICULACION DE CONTEXTOS LOCALES A PRODUCCION DE NARRATIVAS SONORAS Y AUDIOVISUALES EN PASTO</t>
  </si>
  <si>
    <t>172803-172837</t>
  </si>
  <si>
    <t>BECSHCS18 BECSHCS20</t>
  </si>
  <si>
    <t>NARRATIVAS SONORAS Y AUDIOVISUALES (SEDE NEIVA)Y METODOLOGIAS PARA LA INTERACCION - SEDE PITALITO</t>
  </si>
  <si>
    <t>OSCAR IVAN FORERO MOSQUERA - CLAUDIA JIMENA ZUÑIGA RAMIREZ</t>
  </si>
  <si>
    <t>NEIVA-PITALITO-PASTO(RECORRIDO INTERNO Y VISITA AL LAGO DEL GUAMES)- PITALITO-NEIVA</t>
  </si>
  <si>
    <t>Nelson Valbuena - Jairo Gonzalez</t>
  </si>
  <si>
    <t>CONTADURIA PUBLICA (DIURNA)</t>
  </si>
  <si>
    <t xml:space="preserve">VISITA SUPERINTENDENCIA SOCIEDADES, CONSEJO TÉCNICO DE LA CONTADURÍA
</t>
  </si>
  <si>
    <t>BEECCO29</t>
  </si>
  <si>
    <t>SUBORDINADAS</t>
  </si>
  <si>
    <t>ALMA YISEHT GUTIERREZ PEÑA</t>
  </si>
  <si>
    <t xml:space="preserve">NEIVA - BOGOTÁ - NEIVA
</t>
  </si>
  <si>
    <t xml:space="preserve">GARZON </t>
  </si>
  <si>
    <t>APLICACION DE INDICADORES PARA EL ANALISIS DE LA CALIDAD DEL AGAUA EN LA QUBRADA RIO LORO-GARZON</t>
  </si>
  <si>
    <t>BEEXTA12</t>
  </si>
  <si>
    <t>CALIDAD DE AGUAS</t>
  </si>
  <si>
    <t xml:space="preserve">KAREN DANIELA QUINTERO </t>
  </si>
  <si>
    <t>QUEBRADA RIO LORO DESDE ZULUAGA HASTA EL POBLADO DE RIO LORO</t>
  </si>
  <si>
    <t>NO TIENE  FORMATO MI-FOR-FO-16</t>
  </si>
  <si>
    <t>CARACTERISTICAS MORFOMETRICAS Y GEOMORFOLOGICAS DE UNA CUENCA HIDROGRAFICA</t>
  </si>
  <si>
    <t>BEINAG83</t>
  </si>
  <si>
    <t>MANEJO DE CUENCAS HIDROGRAFICAS</t>
  </si>
  <si>
    <t>ALEXANDRA LUNA CUELLAR</t>
  </si>
  <si>
    <t>SALIDA DE GARZON-MANIZALEZ-PARQUE LOS NEVADOS-GARZON</t>
  </si>
  <si>
    <t>PROCESO DE PRODUCCION, COSECHA, POST-COSECHA, INDUSTRIALIZACION Y COMERCIALIZACION DEL CAFE</t>
  </si>
  <si>
    <t>FEINAG79</t>
  </si>
  <si>
    <t>TECNOLOGIA DEL CAFE</t>
  </si>
  <si>
    <t>LUIS FERNANDO CALDERON ALVARADO</t>
  </si>
  <si>
    <t>GARZON-EL PITAL- LA PLATA-GIGANTE-GARZON</t>
  </si>
  <si>
    <t xml:space="preserve">DETERMINACION DE LAS PRINCIPALES PROPIEDADES MECANICAS DE LOS MATERIALES. ENSAYO DE TRACCION </t>
  </si>
  <si>
    <t>BEINAG12</t>
  </si>
  <si>
    <t>ELEMENTOS DE MAQUINAS</t>
  </si>
  <si>
    <t>JUAN CARLOS MARTINEZ WALLES</t>
  </si>
  <si>
    <t>SEDE PRINCIPAL UNIVERSIDAD SURCOLOBIANA , LABORATORIO DE MATERIALES, GARZON-NEIVA-GARZON</t>
  </si>
  <si>
    <t xml:space="preserve">ANATOMIA EXTERNA DEL ALTO, MORFOLOGIA DE LA RAIZ, PROPIEDADES FISCIO QUIMICAS DEL  AGUA, POTENCIAL HIDRICO IMBIHICION PERMEABILIDAD DE </t>
  </si>
  <si>
    <t>BEINAG02</t>
  </si>
  <si>
    <t>FISIOLOGIA VEGETAL</t>
  </si>
  <si>
    <t>ERNETH PARRA MENDEZ</t>
  </si>
  <si>
    <t>GARZON-LABORATORIO FISIOLOGIA VEGETAL DE LA UNIVERSIDAD SURCOLOMBIANA, SEDE PITALITO-GARZON</t>
  </si>
  <si>
    <t>DESARROLLO SOSTENIBLE EN TORNO A LA FINCA AGROECOÑOGICA</t>
  </si>
  <si>
    <t>FEINAG64</t>
  </si>
  <si>
    <t>DESARROLLO SOSTENIBLE  Y MEDIO AMBIENTE</t>
  </si>
  <si>
    <t>MARTHA LUCIA PEÑA QUIMBAYA</t>
  </si>
  <si>
    <t>LA PLATA-GARZON-BOGOTA-RESTREPO VIA AL LLANO-GARZON- LA PLATA</t>
  </si>
  <si>
    <t xml:space="preserve"> NO TIENE  FORMATO MI-FOR-FO-16</t>
  </si>
  <si>
    <t>POTENCIA EN QUIPOS AGRICOLAS, EQUPOS DE LABRANZA, CAPACIDAD DE TRABAJO Y PERFILES DEL CIRTE DE LOS IMPLEMENTOS AGRICOLAS</t>
  </si>
  <si>
    <t>BEINAG19</t>
  </si>
  <si>
    <t>MAQUINAS AGRICOLAS</t>
  </si>
  <si>
    <t>GARZON-AIPE-GARZON</t>
  </si>
  <si>
    <t>PRACTICA INTEGRAL DE LABORATORIO FISICA MECANICA</t>
  </si>
  <si>
    <t>BFEXCN06</t>
  </si>
  <si>
    <t>FISICA MECANICA</t>
  </si>
  <si>
    <t>WILLIAM ARLED SANCHEZ VARGAS</t>
  </si>
  <si>
    <t>GARZON VIA NACIONAL A PITALITO SEDE USCO-PITALITO-GARZON</t>
  </si>
  <si>
    <t>ESTRUCTURAS DE CLIMA CONTROLADO</t>
  </si>
  <si>
    <t>FEINGAGR84</t>
  </si>
  <si>
    <t>DISEÑO Y CONSTRUCCION DE INVERNADEROS</t>
  </si>
  <si>
    <t>GARZON-GIGANTE-ESPINAL-EL JUNCAL-GARZON</t>
  </si>
  <si>
    <t>LABORATORIO MECANICA DE SUELOS</t>
  </si>
  <si>
    <t>BFINAG05</t>
  </si>
  <si>
    <t>MECANICA DE SUELOS</t>
  </si>
  <si>
    <t>UNIVERSIDAD SURCOLOMBIANA GARZON-UNIVERSIDAD SURCOLOMBIANA NEIVA</t>
  </si>
  <si>
    <t>PRACTICA INTEGRAL DE MATERIALES DE CONTRUCCION, ELABORACION PROBETAS DE CONCRETO, DIERÑO DE MEZCLAS, GRANULOMETRIA, DENSIDAD APARENTE Y REAL PARA GRANOS GRUESOS Y FINOS, ENTRE OTRAS PRUEBAS BASICAS</t>
  </si>
  <si>
    <t>BEINAG20</t>
  </si>
  <si>
    <t xml:space="preserve">MATERIALES DE CONSTRUCCION </t>
  </si>
  <si>
    <t>JOSE AGENER ZAPATA</t>
  </si>
  <si>
    <t>GARZON-NEIVA USCO SEDE CENTRAL-LABORATORIO DE MATERIALES-GARZON</t>
  </si>
  <si>
    <t>PRACTICA INTEGRAL</t>
  </si>
  <si>
    <t>BEINAG21</t>
  </si>
  <si>
    <t>GARZON- GINEBRA-PALMIRA-LA UNION-TULUA-VALENCIA-BUGA-GARZON</t>
  </si>
  <si>
    <t>EVALUACION DE PARAMETROS Y METODOS DE RIEGO Y CARACTERIZACION DE UN DISTRITO DE RIEGO DE GRAN ESCALA</t>
  </si>
  <si>
    <t>BEINAG17</t>
  </si>
  <si>
    <t>INGENIERIA DE RIEGOS I</t>
  </si>
  <si>
    <t>CARLOS CÁCERES GONZALEZ</t>
  </si>
  <si>
    <t>SALIDA DEL MUNICIPIO DE GARZON HACIA EL MUNICIPIO DEL ESPINAL, TOLIMA, DISTRITO DE RIEGO USOCOELLO-REGRESO AL MUNICIPIO DE GARZON</t>
  </si>
  <si>
    <t xml:space="preserve">IDENTIFICACION DE LOS FACTORES Y PROCESOS QUE INCIDEN EN EL MANEJO Y CONSERVACION DE PRODUCTOS AGROPECUARIOS </t>
  </si>
  <si>
    <t>BEINAG15</t>
  </si>
  <si>
    <t>MANEJO Y CONSERVACION DE PRODUCTOS AGROPECUARIOS</t>
  </si>
  <si>
    <t>OSCAR MAURICIO BERMEO</t>
  </si>
  <si>
    <t>GARZON-NEIVA (CESUCAFE-AGROINDUTRIA)- RIVERA (EMPRESA CACAO RIVERENSE)-PITALITO  (TECNOPARQUE YAMBORÓ-CERVECERIA ARTESANAL)-TARQUI (QUESOS REYMA)-GARZON</t>
  </si>
  <si>
    <t>DISTRITOS DE RIEGO EN EL TOLIMA, GRANJAS INTEGRALES EN FUSA, MUSEO IGAC, MUSEO GEOLOGICO COLOMBIANO, LABORATORIOS DE SUELOS UNIVERSIDAD NACIONAL AREA DE VIVEROS E</t>
  </si>
  <si>
    <t>BEINAG24</t>
  </si>
  <si>
    <t>SUELOS</t>
  </si>
  <si>
    <t>GARZON-FOSFATOS DEL HUILA, DISTRITOS DE RIEGO EN EL TOLIMA,GRANJAS INTEGRALES EN FUSA, MUSEO IGAC, MUSEO GEOLOGICO COLOMBIANO, LABORATORIO DE SUELOS UNIVERSIDAD NACIONAL REA DE VIVIEROS E</t>
  </si>
  <si>
    <t>PRINCIPALES FUENTES DE POTENCIA EN EL SECTOR AGRICOLA</t>
  </si>
  <si>
    <t>BEINAG13</t>
  </si>
  <si>
    <t>FUENTES DE POTENCIA</t>
  </si>
  <si>
    <t>GARZON-CENTRO DE FORMACION AGROINDUSTRIAL LA ANGOSTURA SENA (CAMPOALEGRE), GARZON</t>
  </si>
  <si>
    <t>PRACTICA INTEGRAL DE LABORATORIO FISICA ELECTROMAGNETICA</t>
  </si>
  <si>
    <t>BFEXCN05</t>
  </si>
  <si>
    <t>FISICA ELECTROMAGNETICA</t>
  </si>
  <si>
    <t xml:space="preserve">COMO CALCULAR DENSIDADES, SEPARAR MEZCLAS, ENLACES QUIMICOS, GASES Y ESTEQUIOMETRIA </t>
  </si>
  <si>
    <t>BFINPE06</t>
  </si>
  <si>
    <t>QUIMICA GENERAL</t>
  </si>
  <si>
    <t>GARZON-VIA PRINCIPAL HASTA LA SEDE USCO PITALITO-GARZON</t>
  </si>
  <si>
    <t>ECOSISTEMAS TERRESTRES Y ALTERACIONES</t>
  </si>
  <si>
    <t>BFINAG02</t>
  </si>
  <si>
    <t>SALIDA DE GARZON VIA INTERVEREDAL VIA AL PARAMO DE MIRAFLORES, DEL MUNICIPIO DE GARZON HUILA</t>
  </si>
  <si>
    <t>CARACTERIZACION DE CUENCAS Y MEDICION DE CAUDALES EN SITIO</t>
  </si>
  <si>
    <t>BEINAG085</t>
  </si>
  <si>
    <t>HIDROCLIMATOLOGIA</t>
  </si>
  <si>
    <t>MUNICIPIO DE GARZON HACIA EL MUNICIPIO DE NEIVA, INSTALACIONES DEL INSTITUTO DE HIDROLOGIA, METEOROLOGIA Y ESTUDIOS  AMBIENTALES Y LUEGO VIA VEREDA VEGALARGA KM 15, HASTA LLEGAR A LA BOCATOMA DEL ACUEDUCTO DEL MUNICIPIO  DE NEIVA. REGRESO AL MUNICIPIO DE GARZON</t>
  </si>
  <si>
    <t>PRACTICA INTEGRAL DE INGENIERIA DE RIEGOS 2 Y DRENAJES AGRICOLAS AL DEPARTAMENTO DEL VALLE DEL CAUCA</t>
  </si>
  <si>
    <t>174444 174357</t>
  </si>
  <si>
    <t>BEINAG18 BEINAG10</t>
  </si>
  <si>
    <t>INGENIERIÍA DE RIEGOS II Y DRENAJES AGRICOLAS</t>
  </si>
  <si>
    <t>SALIDA DEL MUNICIPIO DE GARZON VIA A NEIVA HACIA LA UNION (VALLE DEL CAUCA), DISTRITO DE RIEGO ASORUT, MUNICIPIO DE PALMIRA (VALLE DEL CAUCA), LA CANDELARIA (VALLE DEL CAUCA), INGENIO DEL CAUCA-REGRESO AL MUNICIPIO DE GARZON</t>
  </si>
  <si>
    <t>CANALES ABIERTOS Y ESTRUCTURAS HIDRAULICAS</t>
  </si>
  <si>
    <t>BFINAG04</t>
  </si>
  <si>
    <t>HIDRAULICA</t>
  </si>
  <si>
    <t>GARZON-PAICOL-TESALIA-GARZON</t>
  </si>
  <si>
    <t>PROYECTO RIO LAS CEIBAS</t>
  </si>
  <si>
    <t>FEINAG94</t>
  </si>
  <si>
    <t>MANEJO Y CONSERVACION DE SUELOS</t>
  </si>
  <si>
    <t>GARZON-NEIVA-PROYECTO RIO LAS CEIBAS EN DONDE VISITAREMOS CENTRO DE INVESTIGACION, BOCATOMA EL GUAYABO, PREDIO LAS NIEVES, PREDIO LOS CAUCHOS Y PREDIO SANTA HELENA, ASI MISMO VISITAREMOS OTROS PROYECTOS QUE MANEJA LA CAM EN EL MANEJO Y CONSERVACION DE LOS</t>
  </si>
  <si>
    <t>PRACTICA ETAPAS Y FACTORES QUE BENEFICIAN Y AFECTAN LA GERMINACION</t>
  </si>
  <si>
    <t>BFINAG001</t>
  </si>
  <si>
    <t>BIOLOGIA GENERAL</t>
  </si>
  <si>
    <t>GARZON VIA AGRADO VEREDA EL   ZONA DE COMPENSACION BIOTICA DE LA HIDROELECTRICA EL QUIMBO, DEL MUNICIPIO DE EL AGRADO HUILA</t>
  </si>
  <si>
    <t>MECANICA DE FLUIDOS</t>
  </si>
  <si>
    <t>BFINPE04</t>
  </si>
  <si>
    <t>GARZON-SEDE CENTRAL USCO NEIVA-LABORATORIO-GARZON</t>
  </si>
  <si>
    <t>IDENTIFICACION DE FUENTES DE ENERGIA Y TIPOS DE MECANISMOS PARA ELPROCESO DE SECADO DE PRODUCTOS AGROPECUARIOS  DE LA REGION (CACO,CAFÉ) Y OTROS</t>
  </si>
  <si>
    <t>BEINAG16</t>
  </si>
  <si>
    <t>SECADO DE PRODUCTOS BIOLOGICOS</t>
  </si>
  <si>
    <t>GARZON-NEIVA (CONTEGRAL)-RIVERA  (EMPRESA CACAO RIVERENSE)-SENA YAMBORÓ PITALITO- GARZON (PARQUE INDUSTRIAL PLANTA SECADO COOCENTRAL-KM 2 VIA EL AGRADO)-GARZON</t>
  </si>
  <si>
    <t xml:space="preserve">Nelson Valbuena  </t>
  </si>
  <si>
    <t>CONSTRUCCIONES RURALES</t>
  </si>
  <si>
    <t>BEINAG008</t>
  </si>
  <si>
    <t xml:space="preserve">CONSTRUCCION ES RURALES </t>
  </si>
  <si>
    <t>1/NOVIEMBRE/2022 CONJUNTA CON WILSON ERAZO-NEIVA</t>
  </si>
  <si>
    <t>4/NOVIEMBRE/2022 CONJUNTA CON WILSON ERAZO-NEIVA</t>
  </si>
  <si>
    <t>SE SALE DEL MUNICIPIO DE GARZON HACIA BOGOTA, LUEGO AL MUNICIPIO DE UBAQUE-CHOACHI-FOMEQUE-INTER VEREDAL FOMEQUE Y POSTERIORMENTE AL MUNICIPIO DE</t>
  </si>
  <si>
    <t xml:space="preserve">EL DESARROLLO SOSTENIBLE ENTORNO A LA FINCA AGROECOLÓGICA
</t>
  </si>
  <si>
    <t>DESARROLLO SOSTENIBLE Y MEDIO AMBIENTE</t>
  </si>
  <si>
    <t xml:space="preserve">PLATA AL MUNICIPIO DE GARZÓN PARA LUEGO DIRIGIRSE POR LA VÍA NACIONAL
HACIA NEIVA Y DE ALLÍ POR LA VÍA NACIONAL HACIA BOGOTÁ Y LUEGO APROXIMADAMENTE A DOS HORAS HACIA
EL DEPARTAMENTO DE META EN EL MUNICIPIO DE RESTREPO
</t>
  </si>
  <si>
    <t xml:space="preserve">QUEBRADA RÍO LORO DESDE ZULUAGA HASTA EL POBLADO DE RÍO LORO, MUNICIPIO GARZÓN.
</t>
  </si>
  <si>
    <t>YANET CARIDAD APIN CAMPOS</t>
  </si>
  <si>
    <t xml:space="preserve">LA PLATA- QUEBRADA RÍO LORO DESDE ZULUAGA HASTA EL POBLADO DE RÍO LORO, MUNICIPIO GARZÓN.                
</t>
  </si>
  <si>
    <t xml:space="preserve">FLUJO DE FLUIDOS EN CONDUCTOS CERRADA
MAQUINAS HIDRAULICAS LABORATORIO SEDE NEIVA (PRACTICA DE LABORATORIO).
</t>
  </si>
  <si>
    <t>JAVIER EDUARDO BONILLA PERDOMO</t>
  </si>
  <si>
    <t xml:space="preserve">LA PLATA – NEIVA (LABORATORIO SEDE ) - NEIVA (LABORATORIO SEDE ) – LA PLATA
</t>
  </si>
  <si>
    <t xml:space="preserve">DIFERENTES TIPOS DE CONSTRUCCIONES AGROPECUARIAS
</t>
  </si>
  <si>
    <t>EDDINSON ORTEGA MARTINEZ</t>
  </si>
  <si>
    <t xml:space="preserve">CATEDRA VISITANTE DOCENTE
</t>
  </si>
  <si>
    <t xml:space="preserve">LA PLATA- GARZÓN PARA LLEGAR PRIMERO A LA PLANTA DE CAFÉ COOCENTRAL Y LUEGO 
GARZÓN PLANTA DE EVISCERADO QUIMBO FISH KILÓMETRO 12 VÍA A NEIVA
</t>
  </si>
  <si>
    <t xml:space="preserve">LABORATORIO DE MECÁNICA DE SUELOS
</t>
  </si>
  <si>
    <t xml:space="preserve">LA PLATA – NEIVA (SEDE CENTRAL) - LA PLATA
</t>
  </si>
  <si>
    <t>CONOCIMIENTO DE PROCESOS Y OPERACIONES UNITARIAS DE LA INDUSTRIA AGROALIMENTARIA. PRINCIPALES PARÁMETROS FISICOQUÍMICOS EN LOS ALIMENTOS</t>
  </si>
  <si>
    <t>YANETH LILIANA RUIZ OSORIO</t>
  </si>
  <si>
    <t xml:space="preserve">LA PLATA-NEIVA -LA PLATA
</t>
  </si>
  <si>
    <t xml:space="preserve">PRACTICA DE LABORATORIO DE MATERIALES DE CONSTRUCCIÓN (NEIVA)
</t>
  </si>
  <si>
    <t xml:space="preserve"> CONSTRUCCIONES RURALES</t>
  </si>
  <si>
    <t xml:space="preserve">LA PLATA – NEIVA (SEDE CENTRAL) - LA PLATA
</t>
  </si>
  <si>
    <t xml:space="preserve">VISITA ASOCIACIÓN CAFICULTORES		
</t>
  </si>
  <si>
    <t xml:space="preserve">LA PLATA- VEREDA ALTO CAÑADA-LA PLATA                        
</t>
  </si>
  <si>
    <t xml:space="preserve">LABORATORIO DE PROPIEDADES FÍSICAS Y QUÍMICAS DEL SUELO
</t>
  </si>
  <si>
    <t>CARLOS EMILIO REINA GALEANO</t>
  </si>
  <si>
    <t xml:space="preserve">LA PLATA – NEIVA (LABORATORIO DE SUELOS, SEDE CENTRAL USCO)
</t>
  </si>
  <si>
    <t xml:space="preserve">RECONOCIMIENTO DE LA RESERVA MEREMBERG COMO ECOSISTEMA ESTRATÉGICO DEL DEPARTAMENTO DEL HUILA
</t>
  </si>
  <si>
    <t>ANDREA DEL PILAR CONDE CAPERA</t>
  </si>
  <si>
    <t xml:space="preserve">LA PLATA-RESERVA NATURAL MEREMBERG-LA PLATA
</t>
  </si>
  <si>
    <t xml:space="preserve">LABORATORIO DE MATERIALES DE CONSTRUCCION		
</t>
  </si>
  <si>
    <t>MATERIALES DE CONSTRUCCIÓN</t>
  </si>
  <si>
    <t xml:space="preserve">"PRACTICA INTEGRAL PARA EL RECONOCIMIENTO DE COMPONENTES Y SISTEMAS DE
RIEGO POR ASPERSIÓN, LOCALIZADOS Y POR GRAVEDAD."
</t>
  </si>
  <si>
    <t>BEINAG18</t>
  </si>
  <si>
    <t xml:space="preserve"> INGENIERÍA DE RIEGOS II</t>
  </si>
  <si>
    <t xml:space="preserve">LA PLATA - NEIVA – EL VALLE(CAUCA) - EL VALLE (CAUCA ) - NEIVA – LA PLATA
</t>
  </si>
  <si>
    <t xml:space="preserve">RECONOCIMIENTO DE LA CUENCA HIDROGRÁFICA RÍO LAS CEIBAS E IDENTIFICACIÓN DE PRÁCTICAS DE MANEJO Y CONSERVACIÓN REALIZADAS EN LA CUENCA.
</t>
  </si>
  <si>
    <t xml:space="preserve">LA PLATA H - NEIVA - CUENCA RÍO LA S CEIBAS - NEIVA - LA PLATA H
</t>
  </si>
  <si>
    <t>JOSE LEANDRO FIERRO CUELLAR</t>
  </si>
  <si>
    <t>RECONOCIMIENTO DE SISTEMAS DE DRENAJES AGRICOLAS Y SU EFICIENCIA EN EL SECTOR PRODUCTIVO COLOBIANO</t>
  </si>
  <si>
    <t>BEINAG10</t>
  </si>
  <si>
    <t>DRENAJES AGRICOLAS</t>
  </si>
  <si>
    <t>VALLE DEL CAUCA: CENTRO DE INVESTIGACION DE AGRICULTURA TROPICAL-CIAT CENTRO DE INVESTIGACION DE LA CAÑA DE AZUCAR-CENICAÑA  INGENIO AZUCARERO MANUELITA-CENTRO AGROPECUARIO DE BUGA  CENTRO DE INVESTIGACION DE LA CAÑA DE AZUCAR-CENICAÑA  INGENIO AZUCARERO MANUELITA-CENTRO    AGROPECUARIO DE BUGA- LA PLATA</t>
  </si>
  <si>
    <t>RECONOCIMIENTO DE SISTEMAS DE DRENAJES AGRÍCOLAS Y SU EFICIENCIA EN EL SECTOR PRODUCTIVO COLOMBIANO</t>
  </si>
  <si>
    <t xml:space="preserve"> DRENAJES AGRICOLAS</t>
  </si>
  <si>
    <t xml:space="preserve">VALLE DEL CAUCA:
CENTRO DE INVESTIGACIÓN DE AGRICULTURA TROPICAL – CIAT
CENTRO DE INVESTIGACIÓN DE LA CAÑA DE AZÚCAR – CENICAÑA
INGENIO AZUCARERO MANUELITA
CENTRO DE INVESTIGACIÓN DE LA CAÑA DE AZÚCAR – CENICAÑA 
INGENIO AZUCARERO MANUELITA-CENTRO AGROPECUARIO DE BUGA
CENTRO DE INVESTIGACIÓN DE LA CAÑA DE AZÚCAR – CENICAÑA 
INGENIO AZUCARERO MANUELITA-CENTRO AGROPECUARIO DE BUGA-LA PLATA
</t>
  </si>
  <si>
    <t xml:space="preserve">RECONOCIMIENTO DE LAS PRINCIPALES OBRAS QUE COMPONEN UN DISTRITO DE RIEGO
</t>
  </si>
  <si>
    <t>HIDRÁULICA</t>
  </si>
  <si>
    <t>RAFAEL DAVID ANGEL GASCA</t>
  </si>
  <si>
    <t xml:space="preserve">LA PLATA-DISTRITO DE RIEGO EL JUNCAL- NEIVA- VILLAVIEJA-SAN ALFONSO-DISTRITO DE RIEGO
USO ALFONSO- NEIVA- LA PLATA
</t>
  </si>
  <si>
    <t xml:space="preserve">LA IDENTIFICACIÓN, RECONOCIMIENTO Y MUESTREO DE SUELOS ES UNA PRÁCTICA FUNDAMENTAL QUE REQUIERE
ESPECIAL CUIDADO Y CONOCIMIENTO, CON EL PROPÓSITO DE TENER LA DEBIDA MEDICIÓN Y VALORACIÓN DE LAS
CARACTERÍSTICAS FÍSICAS, QUÍMICAS Y BIOLÓGICAS DEL SUELO QUE PERMITA LA TOMA DE DECISIONES DEL
PRODUCTOR AGRÍCOLA.
</t>
  </si>
  <si>
    <t xml:space="preserve">LA PLATA- NEIVA –  BOGOTÁ - NEIVA-LA PLATA
RUTA: LA PLATA- NEIVA –  BOGOTÁ - NEIVA-LA PLATA
</t>
  </si>
  <si>
    <t>SISTEMAS DE PRODUCCION AGRICOLA EN AMBIENTES CONTROLADOS</t>
  </si>
  <si>
    <t>FEINAG97</t>
  </si>
  <si>
    <t xml:space="preserve">MANEJO DE CULTIVOS EN INVERNADERO </t>
  </si>
  <si>
    <t>LA PLATA- CENTRO DE FORMACION AGROINDUSTRIAL, SENA CAMPOALEGRE-LA PLATA</t>
  </si>
  <si>
    <t xml:space="preserve">SISTEMAS DE PRODUCCIÓN AGRÍCOLA EN AMBIENTES CONTROLADOS
</t>
  </si>
  <si>
    <t>MANEJO DE CULTIVO EN INVERNADERO</t>
  </si>
  <si>
    <t xml:space="preserve">LA PLATA-CENTRO DE FORMACION AGROINDUSTRIAL, SENA CAMPOALEGRE-LA PLATA			
</t>
  </si>
  <si>
    <t>FORMAS DE UTILIZAR LAS FOTOGRAFIAS AÉREAS Y LAS IMÁGENES SATELITALES EN LOS PROCESOS DE DESARROLLO DEL SISTEMA PRODUCTIVO AGRÍCOLA;PARTIENDO DE LA GEOMÁTICA Y LOS SIG</t>
  </si>
  <si>
    <t>172534 174384</t>
  </si>
  <si>
    <t>BEINAG94 FEEXTA05</t>
  </si>
  <si>
    <t>GEOMÁTICA Y SIG</t>
  </si>
  <si>
    <t>CENTRO DE INVESTIGACION DE LA CAÑA-CENICAÑA; SAN ANTONIO DE LOS CABALLEROS- FLORIDA, VALLE DEL CAUCA EMPRESA AGROAP; SANTIAGO DE CALI, VALLE DEL CAUCA</t>
  </si>
  <si>
    <t xml:space="preserve">FORMAS DE UTILIZAR LAS FOTOGRAFÍAS AÉREAS Y LAS IMÁGENES SATELITALES EN LOS PROCESOS DE
DESARROLLO DEL SISTEMA PRODUCTIVO AGRÍCOLA; PARTIENDO DE LA GEOMÁTICA Y LOS SIG.
</t>
  </si>
  <si>
    <t xml:space="preserve">172534 174384 </t>
  </si>
  <si>
    <t>BEINAG94</t>
  </si>
  <si>
    <t xml:space="preserve">CENTRO DE INVESTIGACION DE LA CAÑA – CENICAÑA; SAN ANTONIO DE LOS CABALLEROS –
FLORIDA, VALLE DEL CAUCA
EMPRESA AGROAP; SANTIAGO DE CALI, VALLE DEL CAUCA
</t>
  </si>
  <si>
    <t xml:space="preserve">LABORATORIO FISICA MECÁNICA
</t>
  </si>
  <si>
    <t>CARLOS ALBERTO PALOMA RAMOS</t>
  </si>
  <si>
    <t>15/octubre/2022 y 12/noviembre/2022</t>
  </si>
  <si>
    <t xml:space="preserve">LA PLATA-NEIVA-LA PLATA
</t>
  </si>
  <si>
    <t xml:space="preserve">LABORATORIO FÍSICA ELECTROMAGNÉTICA
</t>
  </si>
  <si>
    <t>ARBEY SANCHEZ RODRIGUEZ</t>
  </si>
  <si>
    <t>5/noviembre/2022 y 26/noviembre/2022</t>
  </si>
  <si>
    <t xml:space="preserve">LA PLATA-NEIVA-LA PLATA
</t>
  </si>
  <si>
    <t>LABORATORIO DE HIDRÁULICA FACULTAD DE INGENIERIA DE LA UNIVERSIDAD SURCOLOMBIANA  SEDE NEIVA (PRACTICA DE LABORATORIO EN LA FACULTAD DE INGENIERIA NO</t>
  </si>
  <si>
    <t>INGENIERÍA DE RIEGOS  II</t>
  </si>
  <si>
    <t xml:space="preserve">MARLIO BEDOYA CARDOSO </t>
  </si>
  <si>
    <t>FACULTAD DE INGENIERIA (NO SE REQUIERE TRANSPORTE)</t>
  </si>
  <si>
    <t>PRACTICA INTEGRAL PARA EL RECONOCIMIENTO DE COMPONENTES Y SISTEMAS DE RIEGO POR ASPERSION, LOCALIZADOSW Y POR GRAVEDAD EN EL DISTRITO DE RIEGO  EL RUT EN EL NORTE DEL VALLE DEL CAUCA. REQUIERE TRANSPORTE</t>
  </si>
  <si>
    <t>NEIVA-DISTRITO DE RIEGO RUT EN LOS MUNICIPIOS DE ROLDANILLO, LA UNION Y EL TORO EN EL NORTE DEL VALLE CAUCA- DISTRITO DE RIEGO RUT EN LOS MUNICIPIOS DE ROLDANILLO, LA UNION Y EL TORO EN EL NORTE DEL VALLE DEL CAUCA-NEIVA</t>
  </si>
  <si>
    <t>VISITA DE CONSTRUCCIONES RURALES A LOS MUNICIPIOS DE FOMEQUE Y UBAQUE EN EL DEPARTAMENTO DE CUNDINAMARCA, PARA VISITAR EXPLOTACIONES AGROPECUARAS EN DONDE SE PUEDA OBSERVAR DISEÑOS VANGUARDISTAS, TECNOLOGIA, MECANIZACION Y AUTOMATIZACION DE SUS PROCESOS.</t>
  </si>
  <si>
    <t>COSNTRUCCCIONES RURALES</t>
  </si>
  <si>
    <t xml:space="preserve">WILSON JAVIER ERAZO ESPINOZA </t>
  </si>
  <si>
    <t>SE SALE DE LA CIUDAD DE NEIVA HACIA LA CIUDAD DE BOGOTÁ, LUEGO AL MUNICIPIO DE UBAQUE- CHOACHÍ FOMEQUE-INTER VEREDAL FOMEQUE Y POSTERIORMENTE A LA CIUDAD DE NEIVA</t>
  </si>
  <si>
    <t>ESCENARIOS COMERCIALES COMO HERRAMIENTAS PARA REALIZAR UN PLAN DE NEGOCIOS</t>
  </si>
  <si>
    <t>BEINAG80</t>
  </si>
  <si>
    <t>PLAN DE NEGOCIOS</t>
  </si>
  <si>
    <t xml:space="preserve">ORLANDO GUZMAN </t>
  </si>
  <si>
    <t>LAS CHARLAS DENTRO DE LAS CISITAS SE REALIZARÁN DENTRO DE LA CIUDAD DE BOGOTÁ. LA VISITA A SEINPET, SE REALIZA CERCA A SUBA.</t>
  </si>
  <si>
    <t>PRACTICA INTERAL PARA LA IDENTIFICACIÓN  DE LAS PRINCIPALES OBRAS HIDRAUILICAS QUE CONFORMAN UN DITRITO DE RIEGO DE CANALES ABIERTOS E IDENTIFICACIÓN Y EVALUACION DE LAS DIFERENTES SECCIONES  GEOMETRICAS DE CANALES ABIERTOS. (PRACTICA EXTRAMURO)</t>
  </si>
  <si>
    <t>NADIA BRIGITE SANABRIA MÉNDEZ</t>
  </si>
  <si>
    <t>DISTRITO DE RIEGO EL JUNCAL (EL JUNCAL)  RUTA: NEIVA-DISTRITO DE RIEGO EL JUNCAL-NEIVA OBSERVACION: ESTA RUTA SE REALIZÁ EL PRIMER DIA DE PRACTICA, SALIENDO A LA 1:00 P.M Y  REGRESANDO A LAS 06:00PM  DISTRITO DE RIEGO USO ALFONSO (SAN ALFONSO-VILLAVIEJA)  RUTA:NEIVA-DISTRITO DE RIEGO USO ALFONSO- SAN ALFONSO  VILLAVIEJA-NEIVA OBSERVACIÓN: ESTA RUTA SE REALIZARÁ EL SEGUNDO DIA  DE PRACTICA, SALIENDO A LAS 7:00 A.M Y REGRESANDO A LAS 5:00 PM ES IMPORTANTE PARA ESTA RUTA CONTAR CON DOS BUSES PEQUEÑOS DEBIDO A QUE EL ACCESO A LOS DISTRITOS ES POR CARRETERAS ANGOSTAS Y SIN PAVIMENTAR, DIFICULTANDO ASI EL TRÁNSITO DE BUSES GRANDES.</t>
  </si>
  <si>
    <t>NN CATEDRA</t>
  </si>
  <si>
    <t>DISTRITO DE RIEGO EL JUNCAL (EL JUNCAL) Y DISTRITO DE RIEGO USO ALFONSO (SAN ALFONSO-VILLAVIEJA)</t>
  </si>
  <si>
    <t>DIVERSIDAD Y VARIEDADES CULTIVO CAFE, COSECHA Y BENEFICIO HUMEDO , PROCESAMIENTO Y VENTA</t>
  </si>
  <si>
    <t>ELECTIVA TECNICA TECONOLOGIA DEL CAFE</t>
  </si>
  <si>
    <t>BERTULFO DELGADO JOVEN</t>
  </si>
  <si>
    <t xml:space="preserve">1. FINCA EL BARRANCO, MUNICIPIO DE SAN AGUSTIN CARRETERA NACIONAL Y CARRETERA VEREDAL   2, FINCA BELLA VISTA VEREDA FÁTIMA, BRUSELAS PITALITRO CARRETERA NACIONAL Y CARRETERA  VEREDAL </t>
  </si>
  <si>
    <t>SISTEMAS DE SECADO SOLAR Y MECANICO: CAFE, TABACO Y OTROS</t>
  </si>
  <si>
    <t xml:space="preserve">NESTOR ENRIQUE CERQUERA </t>
  </si>
  <si>
    <t>FECHA PENDIENTE POR DEFINIR</t>
  </si>
  <si>
    <t>NEIVA, CAMPOALEGRE: SENA LA ANGOSTURA; GARZON; FINCAS TABACALERAS; PITALITO: CON  DESPLAZAMIENTO A TECNOPARQUE YAMBORO, FINCAS CAFETERAS ZONA DE LA VEREDA BRUSELAS, FINCA 1810 VEREDA SANTA RITA; GARZON: COOCENTRAL;Y NEIVA.</t>
  </si>
  <si>
    <t>NO TIENE  FECHA, NI NUMERO DE DIAS, NI NUMERO DE ALUMNOS, NO TIENE  FORMATO MI-FOR-FO-16</t>
  </si>
  <si>
    <t>VISITA A PLANTAS AGROINDUSTRIALES Y FABRICAS DE EQUIPOS DE PROCESAMIENTO DE PRODUCTOS AGROPECUARIOS</t>
  </si>
  <si>
    <t xml:space="preserve">MANEJO Y CONSERVACIO DE PRODUCTOS AGROPECUARIOS </t>
  </si>
  <si>
    <t>NEIVA, BOGOTA, CON DESPLAZAMIENTOS DE BOGOTA AL MUNICIPIO DE MOSQUERA, MOSQUERA-BOGOTA Y EN LA ZONA URBANA DE BOGOTA, NEIVA.</t>
  </si>
  <si>
    <t>NO TIENE FECHA, NI NUMERO DE DIAS, NI NUMERO DE ALUMNOS, NO TIENE  FORMATO MI-FOR-FO-16</t>
  </si>
  <si>
    <t>ADECUACION, SALINIDAD Y DRENAJE</t>
  </si>
  <si>
    <t>DRENAJE AGRICOLA</t>
  </si>
  <si>
    <t>ARMANDO TORRENTE TRUJILLO</t>
  </si>
  <si>
    <t>NEIVA-PALMIRA-CERRITO-CANDELARIA-NEIVA</t>
  </si>
  <si>
    <t>PRACTICA INTEGRAL DE SUELOS</t>
  </si>
  <si>
    <t>NEIVA-BOGOTÁ-NEIVA</t>
  </si>
  <si>
    <t>VISITA INSTALACION DE CONCREHUILA (PLANTA DE FABRICACION CONCRETO DE CALIDA)</t>
  </si>
  <si>
    <t>MAURICIO DUARTE TORO</t>
  </si>
  <si>
    <t>NEIVA-TESALIA-NEIVA</t>
  </si>
  <si>
    <t xml:space="preserve">VISITA PLANTAS DE TRATAMIENTO DE AGUAS RESIDUALES DOMESTICAS MUNICIPALES Y PLANTA DE APROVECHAMIENTO DE RESIDUOS SOLIDOS </t>
  </si>
  <si>
    <t>FEINAG86</t>
  </si>
  <si>
    <t>SANEAMIENTO RURAL</t>
  </si>
  <si>
    <t>EDINSON MUJICA RODRIGUEZ</t>
  </si>
  <si>
    <t>PAOCOS (PRODUCTOS LIMPIOS SAN AGUSTIN, FINCA LA FLORIDA A 5KM DEL CENTRO DE SAN AGUSTIN), PLANTYA RESIDUOS ORGANICOS BIORGANICOS VIA SAN AGUSTIN, PLANTAS DE TRATAMIENTO DE AGUAS RESIDUALES DOMESTICAS MUNICIPALES. RUTA: PITALITO, SAN AGUSTIN, PITALITO, TIMANA, HOBO, NEIVA, YAGUARA, PALERMO, BARRIO VILLA CONSTANZA (NEIVA), CAMPOALEGR, HOBO, TIMANA, PITALITO</t>
  </si>
  <si>
    <t>VISITA EMPRESAS VARIAS RESPECTO A LA PRODUCCION DE VALCULAS, SISTEMAS DE RIEGO, DRENAJE, BOMBEO Y OTROS, INSTALACIONES UNIVERSIDAD NACIONAL DE COLOMBIA (LABORATORIOS DE HIDRAULICA, RIEGO Y DRENAJE)</t>
  </si>
  <si>
    <t>JHON JAIRO BELTRAN DIAZ</t>
  </si>
  <si>
    <t>PITALITO-UNIVERSIDAD NACIONAL DE COLOMBIA, ASPERSORES DE COLOMBIANA BOMBAS IHM, BERNES, OBSERVACION EJE AMBIENTAL CALLE 13 CIUDAD DE BOGOTA-PITALITO</t>
  </si>
  <si>
    <t>CONOCE EL HERBARIO DE LA UNIVERSIDAD SURCOLOMBIANA SEDE NEIVA PARA APROPIAR LOS CONOCIMIENTOS TEORICOS FRENTE A LA RECOPILACION E IDENTIFICACION DE LAS PLANTAS</t>
  </si>
  <si>
    <t>DAMARIS PERDOMO  MEDINA</t>
  </si>
  <si>
    <t>UNIVERSIDAD SURCOLOMBIANA (PITALIYO)-UNIVERSIDAD SURCOLOMBIANA (NEIVA)-PITALITO</t>
  </si>
  <si>
    <t>TECNIFICACION DE DRENAJE AGRICOLA SUBSUPERFICIAL-VALLE DEL CAUCA</t>
  </si>
  <si>
    <t>MANEJO Y CONSEVARCION DE PRODUCTOS AGROPECUARIOS</t>
  </si>
  <si>
    <t>VICTOR MANUEL MARTINEZ CASTRO</t>
  </si>
  <si>
    <t>SEDE USCO PITALITO-ISNOS (PANELEROS TECNIFICADOS DEL HUILA)-PITALITO-BRUSELAS (GRUPO ASOCIATIVO CAFE SALOMON, EMPRESA CANNAGUSTIN)</t>
  </si>
  <si>
    <t>CONTEXTUALIZACION EN GESTION DE INVERNADEROS AUTOMATIZADOS Y DE OPERACION CONVENCIONAL</t>
  </si>
  <si>
    <t>YONY ARLEY CHAVEZ PARRA</t>
  </si>
  <si>
    <t>PITALITO-TIMANA-ALTAMIRA-GARZON- GIGANTE-HOBO-CAMPOALEGRE-NEIVA</t>
  </si>
  <si>
    <t>VISITA A DISTRITO Y SISTEMAS DE RIEGO A FLUJO A PRESION</t>
  </si>
  <si>
    <t>SEDE USCO PITALITO, DISTRITOS NUEVOS MUNICIPIO DE GIGANTE, GARZON Y COLOMBIA HUILA</t>
  </si>
  <si>
    <t>VISITA A DISTRITOS DE RIEGO OVEJERAS E IGUA EN CAMPOALEGRE, ESTRUCTURAS HIDRAULICAS REPRESA DE BETANIA, DISTRITO DE RIEGO JUNCAL MUNICIPIO DE PALERMO Y SAN ALFONSO EN VILLLAVIEJA, DESIERTO DE LA TATACOA. PITALITO</t>
  </si>
  <si>
    <t>SEDE USCO PITALITO, DISTRITO DE RIEGO OVEJERAS E IGUA, ESTRUCTURAS HIDRAULICAS REPRESA DE BETANIA. DISTRITO DE RIEGO EL JUNCAL, DISTRITO DE   RIEGO USOALFONSO EN EL MUNICIPIO DE VILLAVIEJA Y DESIERTO DE LA TATCOA EN EL DEPARTAMENTO DEL HUILA</t>
  </si>
  <si>
    <t>PRACTICA FUENTES DE POTENCIA (SEDE PITALITO SEME VII)</t>
  </si>
  <si>
    <t>AUGUSTO ISRAEL LOPEZ ARMERO</t>
  </si>
  <si>
    <t>PITALITO-CAMPO ALEGRE- NEIVA-PALERMO-PITALITO</t>
  </si>
  <si>
    <t>RECONOCIMIENTO DE LA RESERVA DE LA SOCIEDAD CIVIL  EL ENCANTO PARA INDETIFICAR LAS ESPECIES BIOTICAS Y ABIOTICAS EXISTENTES EN NUESTRA REGION</t>
  </si>
  <si>
    <t>UNIVERSIDAD SURCOLOMBIANA (PITALITO)-RESERVA DE LA SOCIEDAD CIVIL EL ENCANTO PALESTINA HUILA-PITALITO</t>
  </si>
  <si>
    <t>DESARROLLO SOSTENIBLE EN EL SECTOR AGROPECUARIO EN PRO DE LA CONSERVACION DEL MEDIO AMBIENTE</t>
  </si>
  <si>
    <t xml:space="preserve">INGRID CONSTANZA OSORIO OVIEDO </t>
  </si>
  <si>
    <t>SEDE USCO PITALITO-RESTREPO(META): FINCA AGROECOLOGICA LA COSMOPOLITANA, BIOPARQUE LOS OCARROS-PITALITO</t>
  </si>
  <si>
    <t>VISITA DA LAS INSTALACIONES DE DISTRITOS DE RIEGO EN EL DEPARTAMENTO DEL HUILA, CUNDINAMARCA Y BOYACA (HUILA:OVEJERAS Y USOIGUA EN CAMPOALEGRE, JUNCAL  EN PALERMO) Y (BOYACA; DISTRITO DE RIEGO DEL ALTO CHICAMOCHA Y FIRAVITOBA DESDE TUNJA HASTA SOGAMOSO)</t>
  </si>
  <si>
    <t>INGENIERIA DE RIEGOS II</t>
  </si>
  <si>
    <t>PITALITO- GARZON-CAMPOALEGRE-HOBO-BETANIA-JUNCAL-NEIVA-TUNJA-DUITAMA-SOGAMOSOS-NEIVA-PITALITO</t>
  </si>
  <si>
    <t>VISITA A PLANTA PARA VISUALIZAR LOS CONCEPTOS DE SECADO Y DISEÑO DE PLANTAS DE SECAMIENTO, PARA VISUALIZAR LOS CONCEPTOS DISEÑO Y DE CONTROL DE CALIDAD EN EL ALMACENAMIENTO DE PRODUCTOS  AGROPECUARIOS Y PARA LA IDENTIFICACION DE DIFERNETES  ESCENARIOS PARA DESARROLLAR  EL POTENCIAL DEL INGENIERO AGRICOLA EN LA REGION SURCOLOBIANA    PRACTICA UNIFICADA DE TRES CURSOS ORIENTADOS POR EL MISMO DOCENTE</t>
  </si>
  <si>
    <t>172786 173420 172845</t>
  </si>
  <si>
    <t>BEINAG16 FEINAG096 BEINAG21</t>
  </si>
  <si>
    <t>SECADO DE PRODUCTOS BIOLOGICOS  ALMACENAMIENTO DE PRODUCTOS AGROPECUARIOS PRACTICA INTEGRAL</t>
  </si>
  <si>
    <t>MUNICIPIO DE PITALITO-NEIVA(TRILLADORA LA UNION CADEFIHUILA, MOLINOS DE ARROZ)-RIVERA (CONTEGRAL, PRODUCCION Y AGROINDUSTRIA DE CACAO)-HOBO (FINCA CAFETERA CON ENERGIAS ALTERNATIVAS)- GARZON (PARQUE INDUSTRIAL COOCENTRAL)</t>
  </si>
  <si>
    <t>TECNOLOGIA APLICADA EN EL CULTIBO DEL ARROZ, EQUIPOS DE NIVELACION ELECTRONICA, EVOLUCION DEL CULTIVO DE ARROZ EN EL PAIS AGRICULTURA DE PRECISION MEDIANTE TECNOLOGIA AMTEC</t>
  </si>
  <si>
    <t>PITALITO-CENTRO DE DESAROLLO EXPERIMENTAL FEDEARROZ  PIEDRAPINTADA AIPE, PITALITO</t>
  </si>
  <si>
    <t>RECONOCIMIENTO DE LA PLANTA DE TRATAMIENTO DE AGUA POTABLE Y PLANTA DE AGUA RESIDUALES DEL MUNICIPIO DE PITALITO</t>
  </si>
  <si>
    <t>UNIVERSIDAD SURCOLOMBIANA (PITALITO)-PLANTA DE TRATAMIENTO DE AGUA POTABLE  Y PLANTA DE AGUA RESIDUAL PITALITO-HUILA</t>
  </si>
  <si>
    <t>PROCESAMIENTO DE DERIVADOS LÁCTEOS EN PLANTA AGROINDUSTRIAL</t>
  </si>
  <si>
    <t>BEINAGR023</t>
  </si>
  <si>
    <t xml:space="preserve">PROCESOS INDUSTRIALES LÁCTEOS </t>
  </si>
  <si>
    <t>LILIANA MARCELA MORENO TURRIAGO</t>
  </si>
  <si>
    <t>CENTRO DE FORMACIÓN AGROINDUSTRIAL SENA NEIVA-CAMPOALEGRE-NEIVA</t>
  </si>
  <si>
    <t>APLICACIÓN DE PROCESOS PARA LA OBTENCIÓN DE PRODUCTOS NO ALIMENTARIOS A PARTIR DE RESIDUOS AGRÍCOLAS</t>
  </si>
  <si>
    <t>BEINAGR026</t>
  </si>
  <si>
    <t>INDUSTRIALIZACIÓN DE PRODUCTOS NO ALIMENTATRIOS</t>
  </si>
  <si>
    <t>PRACTICA INTEGRAL: MANEJO POST-COSECHA DE PESCADO-PLANTAS DE SACRIFICIO</t>
  </si>
  <si>
    <t>FEINAGRO29</t>
  </si>
  <si>
    <t xml:space="preserve">PROCESAMIENTO,TRANSFORMACIÓN E INOCUIDAD DE PRODUCTOS PISCÍCOLAS </t>
  </si>
  <si>
    <t>ANGÉLICA MARIA OTERO PATERNINA</t>
  </si>
  <si>
    <t>NEIVA-COTA-CUNDINAMARCA GUASCAS-CUNDINAMARCA (PERNOCTAR) CHOCONTÁ-CUNDINAMARCA-NEIVA</t>
  </si>
  <si>
    <t>RECONOCIMIENTO DE LAS ETAPAS DE PROCESO  EN LA ELABORACIÓN DEL MATERIAL DE EMPAQUE TIPO EXPORTACIÓN PARA TILAPIA Y APROVECHAMINETO DE LOS SUBPRODUCTOS DE LAS INDUSTRIA PISCÍCOLA</t>
  </si>
  <si>
    <t>BEINAGR022</t>
  </si>
  <si>
    <t xml:space="preserve">PROCESOS INDUSTRIALES CARNICOS </t>
  </si>
  <si>
    <t>ANDREA ELINOR LARA SANCHEZ</t>
  </si>
  <si>
    <t>ICOPORES DEL SUR (CRUCE DE RIVERA) INDUSTRIA DE HARINAS CÁRNICAS (VIA YAGUARÁ)</t>
  </si>
  <si>
    <t>DIVERSIDAD Y VARIEDADES DE CULTIVO DE CAFÉ Y CACAO, COSECHA Y BENEFICIO HÚMEDO, PROCESAMIENTO Y VENTA</t>
  </si>
  <si>
    <t>BEINAGR018</t>
  </si>
  <si>
    <t>TECNOLOGÍA DE CAFÉ Y CACAO</t>
  </si>
  <si>
    <t xml:space="preserve">BERTULFO DELGADO </t>
  </si>
  <si>
    <t>1. CENTRO DE FORMACIÓN AGROINDUSTRIAL LA ANGOSTURA SENA CAMPOALEGRE HUILA, CARRETERA NACIONAL Y PARTE CARRETERA VEREDAL. 2. FINCA EL BARRANCO, MUNICIPIO DE SAN AGUSTÍN CARRETERA NACIONAL YCARRETERA VEREDAL 3. FINCA BELLA VISTA VER</t>
  </si>
  <si>
    <t>IMPACTO Y MANEJO AMBIENTAL DE LA EXTRACCIÓN Y TRANSFORMACIÓN INDUSTRIAL DE ROCA FOSFÓRICA DE FOSFATOS DEL HUILA EN EL MUNICIPIO DE AIPE</t>
  </si>
  <si>
    <t>FEINAGRO42</t>
  </si>
  <si>
    <t xml:space="preserve">MANEJO AMBIENTAL DE PROYECTOS AGROINDUSTRIALES </t>
  </si>
  <si>
    <t>ALFREDO AMAYA</t>
  </si>
  <si>
    <t>KILOMETRO 39 DE LA VIA NEIVA- BOGOTÁ</t>
  </si>
  <si>
    <t>NO TIENE FECHA DE INICIO NI FECHA /FIN</t>
  </si>
  <si>
    <t xml:space="preserve">Nelson Valbuena </t>
  </si>
  <si>
    <t>PRACTICA INTEGRAL SISTEMA DE PRODUCCIÓN PECUARIA</t>
  </si>
  <si>
    <t>BEINAGR005</t>
  </si>
  <si>
    <t xml:space="preserve">PRODUCCIÓN PECUARIA Y ACUICOLA </t>
  </si>
  <si>
    <t>BEATRIZ ELENA ZAPATA BERRUECOS</t>
  </si>
  <si>
    <t>NEIVA-MOSQUERA (PERNOCTAR) TAUSA- REPRESA DE NEUSA-GUASCA-NEIVA</t>
  </si>
  <si>
    <t xml:space="preserve">INGENIERÍA CIVIL </t>
  </si>
  <si>
    <t>MEDICION DE CAUDALES EN UNA FUENTE DE AGUA NATURAL</t>
  </si>
  <si>
    <t>BEINCIV005</t>
  </si>
  <si>
    <t>HIDROLOGIA</t>
  </si>
  <si>
    <t>JAIME IZQUIERDO BAUTISTA</t>
  </si>
  <si>
    <t>BOCATOMA EL GUAYABO, SALIENDO DE NEIVA POR LA VÌA ORIENTAL, EN LA ZONA RURAL DEL MUNICIPIO, A 15 KILOMETROS POR LA CARRETERA QUE CONDUCE A LA INSPECCIÓN DE VEGALARGA</t>
  </si>
  <si>
    <t>CARACTERIZACIÓN GEOAMBIENTAL DEL TERRITORIO: GEOPOTENCIAL, MORFOESTRUCTURAS Y GEODINÁMICAS, DEL CORREDOR GEOGRAFICO DEL VALLE SUPERIOR DEL MAGDALENA</t>
  </si>
  <si>
    <t>BEINCIV007</t>
  </si>
  <si>
    <t xml:space="preserve">GEOLOGIA PARA INGENIEROS </t>
  </si>
  <si>
    <t>ISAURO TRUJILLO VASQUEZ</t>
  </si>
  <si>
    <t>DIA 1:NEIVA-BETANIA-HOBO-LA PLATA-INZA (CAUCA) CORREGIMIENTO SAN ANDRES DE PISIMBALA   DIA 2: INZA (CAUCA)- LA PLATA-AGRADO-GARZÓN   DIA 3: GRAZÓN- TIMANA (VEREDA TOBO)-PITALITO</t>
  </si>
  <si>
    <t>VISITA INSTALACIONES PLANA DE TRITURADOS DE MASSEQ</t>
  </si>
  <si>
    <t>BEINCIV013</t>
  </si>
  <si>
    <t>TECNOLOGÍA DEL CONCRETO</t>
  </si>
  <si>
    <t>KM 5 VIA TESALIA NEIVA</t>
  </si>
  <si>
    <t>VISITA CENTRAL HIDROELECTRICA EL QUIMBO Y CAMPO YAGUARA</t>
  </si>
  <si>
    <t>BEINEL47</t>
  </si>
  <si>
    <t>DISEÑO, INSTALACION, OPERACION Y MANTENIMIENTO DE REDES DE TRANSMISION I</t>
  </si>
  <si>
    <t>JESUS DAVID QUINTERO POLANCO</t>
  </si>
  <si>
    <t>NEIVA-TESALIA-TESALIA-YAGUARA-NEIVA</t>
  </si>
  <si>
    <t xml:space="preserve">INGENIERÍA PETRÓLEOS </t>
  </si>
  <si>
    <t>MANEJO DE CARTOGRAFIAS AREAS Y TOMA DE DATOS CON GPS. VISITA A LA SECCION DE CARTOGRAFIA, FOTOGRAFIA Y SIG DEL IGAC (BOGOTÁ.). VISITA EMPRESA ESRI COLOMBIA SIG ArcGIS</t>
  </si>
  <si>
    <t>173112-173113</t>
  </si>
  <si>
    <t>FFINPE03</t>
  </si>
  <si>
    <t>SISTEMAS DE INFORMACIÓN GEOGRAFICA-1-2-3</t>
  </si>
  <si>
    <t>JORGE ORLANDO MAYORCA BAUTISTA</t>
  </si>
  <si>
    <t>NEIVA-BOGOTÁ  DIA 1: NEIVA-AIPE-NATAGAIMA-ESPINAL-FUSAGASUAGA-BOGOTÁ  DIA 2: VISITA INSTITUTO GEOGRAFICO AGUSTIN CODAZZI IGAC-BOGOTA.   DIA 3: BOGOTÁ-ALTO DE LAS ROSAS-FUSAGASUGA-BOQUERON-ESPINAL-NEIVA   HORA DE SALIDA: 6:00 A.M  HORA DE REGRESO: 6:30 P.M</t>
  </si>
  <si>
    <t>173109 173110 173111</t>
  </si>
  <si>
    <t>RECONOCIMIENTO GEOLOGICO DE LA ESTRATIGRAFIA Y GEOLOGIA DEL PETROLEO DE LAS CUENCAS DEL VALLE SUPERIOR DEL MAGDALENA</t>
  </si>
  <si>
    <t>BEINPE22</t>
  </si>
  <si>
    <t>SEDIMENTOLOGIA Y GEOLOGIA DEL PETROLEO-01</t>
  </si>
  <si>
    <t>INGRID NATALIA MUÑOZ QUIJANO</t>
  </si>
  <si>
    <t>NEIVA-MARIQUITA-HONDA-GUADUAS-VILLETA-LA VEGA-NEIVA.:DIA 1: RUTA:NEIVA-MARIQUITA- PARADAS DE TRABAJO INTERMEDIA. DISTACIA:309 KM   DIA 2: RUTA: MARIQUITA-GUADAS PARADAS DE TRABAJO INTERMEDAS  DISTANCIA 53 KM   DIA 3: RUTA: GUADUAS-VILLETA-GUADUAS PARADAS INTERMEDIAS  DIST.: 67,5 KM  DIA 4: RUTA: GUADUAS- NEIVA PARADAS INTERMEDIAS DIST.: 334 KM  HORA DE SALIDA: 6:00 AM HORA REGRESO: 20:00 PM</t>
  </si>
  <si>
    <t>VISITA TÉCNICA A LOS LABORATORIOS DE CORELAB LABORATORIES</t>
  </si>
  <si>
    <t>172860 172863</t>
  </si>
  <si>
    <t>BEINPE07</t>
  </si>
  <si>
    <t>ANALISIS DE NÚCLEOS-1-2</t>
  </si>
  <si>
    <t>JAVIER ANDRES MATINEZ PEREZ</t>
  </si>
  <si>
    <t>NEIVA- BOGOTA-NEIVA  DIA 1: NEIVA-BOGOTA-HOTEL ESTADIO 63 (CALLE 63D No. 21-16) DISTANCIA 305 KM  DIA 2: HOTEL ESTADIO 63-CORE LAB. (CORELAB): CARRERA 20 No.168-52, DIATANCIA:13 KM CORE LAB. (CORELAB)- NEIVA. DISTANCIA: 318KM HORA SALIDA: 9:00 AM HORA DE REGRESO: 9:00 PM</t>
  </si>
  <si>
    <t>RECONOCIMIENTO GEOLOGICO ESTRUCTURAL DE LA SECCIÓN SUR DE LA SUBCUENCA DE NEIVA</t>
  </si>
  <si>
    <t>BEINPE12</t>
  </si>
  <si>
    <t>GEOLOGIA ESTRUCTURAL-01</t>
  </si>
  <si>
    <t xml:space="preserve">NEIVA-PAICOL-LA PLATA-NEIVA. DIA 1: RUTA: NEIVA-TESALIA-PAICOL-105 KMS  DIA 2: RUTA: PAICOL-TESALIA-(HACIENDA EL  MORAL)-NATAGA-PAICOL-.52 KM   DIA 3: RUTA: PAICOL-LA PLATA- (SECTOR SAN JUAN )-NEIVA 163 KM HORA DE SALIDA: 8:00 AM HORA REGRESO: 6:00 PM </t>
  </si>
  <si>
    <t>BFFAING016</t>
  </si>
  <si>
    <t>ROBERTO VARGAS CUERVO</t>
  </si>
  <si>
    <t xml:space="preserve">LICENCIATURA EN CIENCIAS NATURALES Y EDUCACION AMBIENTAL </t>
  </si>
  <si>
    <t xml:space="preserve">ESTUDIO DE LA PLANTAS EN SU ENTORNO NATURAL </t>
  </si>
  <si>
    <t>BEEDCN56</t>
  </si>
  <si>
    <t>BIOLOGIA DE LAS PLANTAS G01</t>
  </si>
  <si>
    <t>JEISON HERLEY ROSERO TORO</t>
  </si>
  <si>
    <t>NEIVA-GIGANTE-CORREGIMIENTO DE TRES ESQUINAS- VEREDA LOS PINOS- VEREDA VENTANAS(ZONA DE AMORTIGUACION DEL PARQUE)</t>
  </si>
  <si>
    <t xml:space="preserve">Alberto Mora </t>
  </si>
  <si>
    <t>RECONOCIMIENTO BIOTICO SISTEMAS ANDINOS</t>
  </si>
  <si>
    <t>BEEDCN61</t>
  </si>
  <si>
    <t xml:space="preserve">SISTEMATICA-VEGETAL Y ANIMAL </t>
  </si>
  <si>
    <t>JEISON HERLEY ROSERO TORO/ MIJAEL BRAND PRADA</t>
  </si>
  <si>
    <t>CATEDRA VISITANTE DOCENTE/ CATEDRA DOCENTE</t>
  </si>
  <si>
    <t>NEIVA-SAN AGUSTIN-ISNOS- SAN AGUSTIN-NEIVA</t>
  </si>
  <si>
    <t xml:space="preserve">CONDICIONES Y RECURSOS ECOLOGICOS Y EVOLUTIVOS EN EL PARQUE NACIONAL NATURAL CUEVA DE LOS GUACHAROS  </t>
  </si>
  <si>
    <t>BEEDCN74</t>
  </si>
  <si>
    <t xml:space="preserve">JUAN CARLOS VALENZUELA ROJAS </t>
  </si>
  <si>
    <t xml:space="preserve">FAUNA EN CAUTIVERIO Y CELECCIONES ANIMALES </t>
  </si>
  <si>
    <t>BEEDCN58</t>
  </si>
  <si>
    <t>BIOLOGIA DE LOS ANIMALES G01</t>
  </si>
  <si>
    <t>MIJAEL BRAND PRADA</t>
  </si>
  <si>
    <t xml:space="preserve">NEIVA-BOGOTA (MUEO DE HISTORIA NATURAL DE LA UNIVERSIDAD NACIONAL DE COLOMBIA)-TOCANCIPA(PARQUE JAIME DUQUE)- BOGOA- SAN ANTONIO DEL TEQUENDAMA(ZOOLOGICO DE SANTA CRUZ)- NEIVA </t>
  </si>
  <si>
    <t xml:space="preserve">ENSEÑANZA DE LA FISICA COMO CIENCIA NATURAL Y EXPERIMENTAL EN ESPACIOS NO CONVENCIONALES DE EDUCACION </t>
  </si>
  <si>
    <t>BEEDCN65</t>
  </si>
  <si>
    <t xml:space="preserve">DIDACTICA DE LA FISICA </t>
  </si>
  <si>
    <t xml:space="preserve">JONATHAN ANDRES MOSQUERA </t>
  </si>
  <si>
    <t xml:space="preserve">NEIVA-MEDELLIN-GUATAPE-NEIVA </t>
  </si>
  <si>
    <t xml:space="preserve">INGENIERIA BIOQUIMICA </t>
  </si>
  <si>
    <t>BEEDCN21</t>
  </si>
  <si>
    <t>BIOQUIMICA G01</t>
  </si>
  <si>
    <t xml:space="preserve">NINA MARIA SANCHEZ </t>
  </si>
  <si>
    <t xml:space="preserve">LA QUIMICA Y LOS PROCESOS INDUSTRIALES </t>
  </si>
  <si>
    <t>172212-173039</t>
  </si>
  <si>
    <t>BEEDCN05</t>
  </si>
  <si>
    <t>QUIMICA INORGANICA G01 Y G02</t>
  </si>
  <si>
    <t xml:space="preserve">MAIRA YENIFER RIOS BUSTOS </t>
  </si>
  <si>
    <t>NEIVA-ZIPAQUIRA-VILLA LEYVA-NEIVA</t>
  </si>
  <si>
    <t xml:space="preserve">LICENCIATURA EN CIENCIAS SOCIALES </t>
  </si>
  <si>
    <t xml:space="preserve">SALIDA DE CAMPO CURSOS DIDACTICA DE LA CIENCIAS SOCIALES, DIVERSIDAD CULTURAL E INTRODUCCION A LAS CIENCIAS SOCIALES </t>
  </si>
  <si>
    <t>172144 172233 172230</t>
  </si>
  <si>
    <t>BEEDCS02 BEEDCS01 BEEDCS03</t>
  </si>
  <si>
    <t xml:space="preserve">INTRODUCCION A LAS CIENCIAS SOCIALES-DIVERSIDAD CULTURAL DIDACTICA DE LAS CIENCIAS SOCIALES </t>
  </si>
  <si>
    <t xml:space="preserve">ROBINZON PIÑEROS-OFELIA RAMIREZL- MATHUSALAM PANTEVIS  </t>
  </si>
  <si>
    <t>DE PLANTA DOCENTE/ CATEDRA DOCENTE/ DE PLANTA DOCENTE</t>
  </si>
  <si>
    <t>NEIVA-PANORAMICA DE EL QUIMBO-PITALITO (RESGUARDO RUMIYACO)- SAN AGUSTIN (PARQUE ARQUEOLOGICO)- SAN JOSE DE ISNOS ( COMUNIDAD INDIGENA YANACONA) SAN JOSE ( VEREDA LAS DELICIAS Y SALTO DE BORDONES, ALTOS DE LOS IDOLOS, PARQUE ARQUEOLOGICO)- LA JAGUA(GARZON) - NEIVA</t>
  </si>
  <si>
    <t xml:space="preserve">Alberto Mora - Desiderio Olarte </t>
  </si>
  <si>
    <t xml:space="preserve">DIDACTICA Y EVALUACION EN LAS CIENCIAS SOCIALES PRACTICA DE INVESTIGACION EN EL AULA </t>
  </si>
  <si>
    <t>172247 173275</t>
  </si>
  <si>
    <t xml:space="preserve">BEEDCS06 BEEDCS19 </t>
  </si>
  <si>
    <t xml:space="preserve">DIDACTICAS Y EVALUACION EN LAS CIENCIAS SOCIALES PRACTICAS DE INVESTIGACION EN EL AULA </t>
  </si>
  <si>
    <t>ROBINZON PIÑEROS</t>
  </si>
  <si>
    <t xml:space="preserve">NEIVA-PIEDRA PINTADA, AIPE-BOGOTA LOCALIDAD DE BOSA, COLEGIO LA CONCEPCION IED-MUSEO NACIONAL -CENTRO NACIONAL DE MEMORIA HISTORICA-MUSEO DE MEMORIA DE COLOMBIA-CENTRO DE MEMORIA, PAZ Y RECONCILIACION- MUSEO GEOLOGICO NACIONAL "JOSE ROYO Y GOMEZ"- BIBLIOTECA NACIONAL-INSTITUTO GEOGRAFICO AGUSTIN CODAZZI-NEIVA </t>
  </si>
  <si>
    <t>Desiderio Olarte - Nelson Valbuena</t>
  </si>
  <si>
    <t>STEFANI CASTAÑO TORRES</t>
  </si>
  <si>
    <t xml:space="preserve"> NOMBRAMIENTO OCASIONAL DOCENTE</t>
  </si>
  <si>
    <t xml:space="preserve">CONFLICTOS TERRITORIALES Y TENSIONES LOCALE-GLOBAL EN LA REGION SURCOLOMBIANA </t>
  </si>
  <si>
    <t>173272 172993 172986 173266</t>
  </si>
  <si>
    <t>BEEDCS15 BEEDCS12 BEEDCS11 FEEDCS16</t>
  </si>
  <si>
    <t>PRACTICAS DE INMERSION-BEEDCS15(TEORICO PRACTICO)NEL TIEMPO Y LAS CULTURAS II- BEEDCS11(TEORICO) GEOGRAFIA-FEEDCS16 (TEORICO)</t>
  </si>
  <si>
    <t>ALDEMAR MACIAS/ STEFANI CASTAÑO TORRES/ ROBINZON PIÑEROS LIZARAZO/ CLAUDIA YOLIMA INES DEVIA ACOSTA</t>
  </si>
  <si>
    <t xml:space="preserve">DE PLANTA DOCENTE/ NOMBRAMIENTO OCASIONAL DOCENTE/ DE PLANTA DOCENTE/ NOMBRAMIENTO OCASIONAL DOCENTE </t>
  </si>
  <si>
    <t>RUTA:NEIVA-HOBO: PUENTE EL PESCADOR- CAMPO ALEGRE: CASCO URBANO Y CORREGIMIENTO DE OTAS- GIGANTE: VEREDA RIO LORO- RUTA 45: MIRADOR EL QUIMBO-GARZON:HACIENDA LUGAR DE SANTIAGO Y PALACIO; LA JAGUA-ALTAMIRA: VEREDA LLANO DE LA VIRGEN-ALGECIRAS: CASCO URBANO-NEIVA . DIA 1: NEIVA-HOBO: PUENTE EL PESCADOR- CAMPOALEGRE: CASCO URBANO Y CORREGIMIENTO DE OTAS- GIGANTE: VEREDA RIO LORO-RUTA 45: MIRADOR EL QUIMBO- GARZON: HACIENDA SANTIAGO Y PALACIO. DIA 2: LA JAGUA- ALTAMIRA: VEREDA EL LLANO DE LA VIRGEN- ALGECIRAS: CASCO URBANO. DIA 3: ALGECIRAS: CASCO URBANO-NEIVA</t>
  </si>
  <si>
    <t>PRACTICAS PEDAGOGICAS Y EDUCATIVAS EN ECENARIOS RURALES</t>
  </si>
  <si>
    <t>BEEDCS09</t>
  </si>
  <si>
    <t>PRACTICA PEDAGOGICA DE OBSERVACION</t>
  </si>
  <si>
    <t>DIEGO FERNANDO PEREZ TRUJILLO</t>
  </si>
  <si>
    <t>NEIVA-PITALITO-PALESTINA-SAN JOSE DE ISNOS-NEIVA</t>
  </si>
  <si>
    <t>LICENCIATURA EN EDUCACION ARTISTICA</t>
  </si>
  <si>
    <t>ARCILLA Y PRODUCCION TRADICIONAL</t>
  </si>
  <si>
    <t>BEEDEA18</t>
  </si>
  <si>
    <t>PROCESOS TRIDIMENSIONALES CONTEMPORANEOS</t>
  </si>
  <si>
    <t>ROCIO POLANIA FARFAN-ORLANDO QUIENTERO P</t>
  </si>
  <si>
    <t>DE PLANTA DOCENTE/ CATEDRA VISITANTE DOCENTE</t>
  </si>
  <si>
    <t>NEIVA-BOGOTA-VILLA DE LEYVA-RAQUIRA</t>
  </si>
  <si>
    <t>EXPERIENCIAS COMUNITARIAS SIGNIFICATIVAS EN CONTESTOS URBANOS Y RURALES</t>
  </si>
  <si>
    <t>BEEDEA26</t>
  </si>
  <si>
    <t xml:space="preserve">PRACTICA COMUNITARIA </t>
  </si>
  <si>
    <t xml:space="preserve">ROCIO POLANIA FARFAN- JAIME RUIZ SOLORZANO </t>
  </si>
  <si>
    <t>DE PLANTA DOCENTE / DE PLANTA DOCENTE</t>
  </si>
  <si>
    <t xml:space="preserve">LA CERAMICA COMO OPCION PEDAGOGICA PARA LAS COMUNIDADES </t>
  </si>
  <si>
    <t>BEEDEA09</t>
  </si>
  <si>
    <t>PROCESOS TRIDIMENSIONALES BASICOS</t>
  </si>
  <si>
    <t>ROCIO DE LAS MERCEDES POLANIA FARFAN</t>
  </si>
  <si>
    <t>NEIVA-GUAMO-LA CHAMBA-NEIVA</t>
  </si>
  <si>
    <t xml:space="preserve">LICENCIATURA EN EDUCACION FISICA, RECREACION Y DEPORTES </t>
  </si>
  <si>
    <t>PRACTICA EXTRAMURO ADMINISTRACION DEPORTIVA</t>
  </si>
  <si>
    <t>173101-173121</t>
  </si>
  <si>
    <t>BEEDEF58</t>
  </si>
  <si>
    <t>ENFASIS I Y II EN ADMINISTRACION DEPORTIVA ENFASIS PREPARACION ADMINISTRACION</t>
  </si>
  <si>
    <t>ANDRES COVALEDA-EDGAR COMETA</t>
  </si>
  <si>
    <t>CATEDRA DOCENTE / DE PLANTA DOCENTE</t>
  </si>
  <si>
    <t>NEIVA-ESPINAL-MELGAR-BOGOTA-NEIVA</t>
  </si>
  <si>
    <t>SALIDA PEDAGOGICA A SAN AGUSTIN</t>
  </si>
  <si>
    <t>BEEDEF52</t>
  </si>
  <si>
    <t xml:space="preserve">FUNDAMENTOS EN RECREACION </t>
  </si>
  <si>
    <t xml:space="preserve">YENNER FRANCISCO COMAS COMAS </t>
  </si>
  <si>
    <t>NEIVA-GARZON-TIMANA-PITALITO-SAN AGUSTIN</t>
  </si>
  <si>
    <t xml:space="preserve">VIVENCIAR PROCESO PREPARACION DEPORTIVA. DESARROLLO INTEGRAL DEL RENDIMIENTO </t>
  </si>
  <si>
    <t>173104-173125</t>
  </si>
  <si>
    <t>BEEDEF59</t>
  </si>
  <si>
    <t>ENFASIS I Y II EN PREPARACION DEPORTIVA</t>
  </si>
  <si>
    <t>JOSUE MANCHOLA BELLO/ RONALD HERNANDO ANDUQUIA CARMONA</t>
  </si>
  <si>
    <t>NEIVA-ESPINAL-IBAGUE</t>
  </si>
  <si>
    <t xml:space="preserve">APRENDIZAJE Y MOTRICIDAD EN AMBIENTE RURAL </t>
  </si>
  <si>
    <t>BEEDEF48</t>
  </si>
  <si>
    <t xml:space="preserve">APRENDIZAJE MOTOR </t>
  </si>
  <si>
    <t xml:space="preserve">JUAN CARLOS CUELLAR SANTOS </t>
  </si>
  <si>
    <t>NEIVA-PITALITO-BRUSELAS-NEIVA</t>
  </si>
  <si>
    <t xml:space="preserve">ENFASIS I Y II EN RECREACION </t>
  </si>
  <si>
    <t>173100-173120</t>
  </si>
  <si>
    <t>BEEDEF63</t>
  </si>
  <si>
    <t xml:space="preserve">ANGEL MILLER ROA CRUZ </t>
  </si>
  <si>
    <t>NEIVA- IBAGUE- ARMENIA- PEREIRA- NEIVA</t>
  </si>
  <si>
    <t xml:space="preserve">ESCUELA EXPERIMENTAL </t>
  </si>
  <si>
    <t>173470-173475</t>
  </si>
  <si>
    <t>BEEDLC51</t>
  </si>
  <si>
    <t>LUZ ANGELA ORTIZ DIAZ</t>
  </si>
  <si>
    <t xml:space="preserve">LICENCIATURA EN MATEMATICAS </t>
  </si>
  <si>
    <t>PARTICIPACION EN EL 8 ENCUENTRO DE EDUCACION MATEMATICAS EDEM-8 ORGANIZADO POR LA UNIVERSIDAD DISTRITAL  FRANCISCO JOSE DE CALDAS</t>
  </si>
  <si>
    <t>BEEDLM37</t>
  </si>
  <si>
    <t>ENSEÑANZA APRENDISAJE DE LA ARITMETICA Y LA GEOMETRIA</t>
  </si>
  <si>
    <t>IVON ANDREA RAMIREZ OVIEDO</t>
  </si>
  <si>
    <t>BEEDLM39</t>
  </si>
  <si>
    <t>ENSEÑANZA Y APRENDISAJE DEL ALGEBRA Y LA ESTADISTICA</t>
  </si>
  <si>
    <t>KAREN TATIANA BARREIRO MASMELA</t>
  </si>
  <si>
    <t>BEEDLM43</t>
  </si>
  <si>
    <t>ENSEÑANZA APRENDISAJE DEL CALCULO</t>
  </si>
  <si>
    <t xml:space="preserve">LUIS EDUARDO REYES PERDOMO </t>
  </si>
  <si>
    <t xml:space="preserve">VISITA A INSTITUCIONES EDUCATIVAS QUE REALIZAN PRACTICAS EDUCATIVAS NO CONVECIONALES (CENTRADAS EN INVESTIGACION) UNIVERSIDAD DE LA AMAZONIA E INSTITUCIONES RURAL E INDIGENA </t>
  </si>
  <si>
    <t>BEEDLM40</t>
  </si>
  <si>
    <t>PRACTICA PEDAGOCICA I</t>
  </si>
  <si>
    <t>MERCY LILI PEÑA MORALES</t>
  </si>
  <si>
    <t>NEIVA-FLORENCIA-LA MARIPOSA-FLORENCIA-NEIVA</t>
  </si>
  <si>
    <t>BEEDLM44</t>
  </si>
  <si>
    <t>PRACTICA PEDAGOGICA II</t>
  </si>
  <si>
    <t>BEEDLM47</t>
  </si>
  <si>
    <t>PRACTICA PEDAGOGICA III</t>
  </si>
  <si>
    <t xml:space="preserve">ALEXANDER PAREDES MARTINEZ </t>
  </si>
  <si>
    <t>BEEDLM48</t>
  </si>
  <si>
    <t>PRACTICO PEDAGOGICO IV</t>
  </si>
  <si>
    <t>PSCICOLOGÍA</t>
  </si>
  <si>
    <t>RECONOCIMIENTO DE PROCESOS ORGANIZACIONALES</t>
  </si>
  <si>
    <t>BESAPS35</t>
  </si>
  <si>
    <t>PSICOLOGÍA LABORAL</t>
  </si>
  <si>
    <t>ANDREA HIRAYDA VANEGAS MONTAÑO</t>
  </si>
  <si>
    <t>LA PLATA-NEIVA-LA PLATA</t>
  </si>
  <si>
    <t xml:space="preserve">Alberto Mora  </t>
  </si>
  <si>
    <t>PSICOPEDAGOGIA</t>
  </si>
  <si>
    <t>PEDAGOGIA Y CURRICULOS OTROS EN EL SUROCCIDENTE COLOMBIANO</t>
  </si>
  <si>
    <t>173642-169858</t>
  </si>
  <si>
    <t>BFEDPP19</t>
  </si>
  <si>
    <t>PEDAGOGIA/ CURRICULO</t>
  </si>
  <si>
    <t>MATHUSALAN PANTEVIS-DIEGO FERNANDO PEREZ TRUJILLO</t>
  </si>
  <si>
    <t>DE PLANTA DOCENTE/ NOMBRAMIENTO OCASIONAL DOCENTE</t>
  </si>
  <si>
    <t xml:space="preserve">NEIVA POPAYAN: VISITA UNIVERSIDAD DEL CAUCA Y LA </t>
  </si>
  <si>
    <t>PROYECTO EDUCATIVO COMUNITARIO PEC</t>
  </si>
  <si>
    <t>BFEDPP28</t>
  </si>
  <si>
    <t>OFELIA RAMIREZ LOSADA</t>
  </si>
  <si>
    <t>NEIVA-LA PLATA- VILLA LOSADA- GALLEGO-LA ARGENTINA  EL PENCIL-RESGUARDO NUEVO AMANECER-LA PLATA( LA AZUFRADA Y SEDE USCO)- PAICOL-NEIVA</t>
  </si>
  <si>
    <t xml:space="preserve">VISITA AL MUSEO DE HISTORIA NATURAL DE LA UNIVERSIDAD NACIONAL DE COLOMBIA Y TALLER EN LA FUNDACION ZOOLOGICO DE SANTA CRUZ - IMPORTANCIA DE ESTUDIOS"BOTANICOS MOLECULARES Y BIOTECNOLOGICOS" Y MANEJO DE MATERIAL  VEGETAL EN JARDINES BOTANICOS Y HERBARIOS </t>
  </si>
  <si>
    <t>173986                                     173983                        173979</t>
  </si>
  <si>
    <t xml:space="preserve">PRINCIPIOS DE SISTEMATICA - BIOLOGIA DEL DESARROLLO - TAXONOMIA DE EMBRIOFITOS BASALES </t>
  </si>
  <si>
    <t>GUISELLE NEGOVER  BRIÑEZ VASQUEZ/ CARLOS ALBERTO MENDEZ</t>
  </si>
  <si>
    <t xml:space="preserve">NEIVA-PALESTINA-VEREDA MENSURA-PARQUE NACIONAL CUEVA LOS GUACHAROS- NEIVA </t>
  </si>
  <si>
    <t xml:space="preserve">GESTION Y CONSERVACION DE ECOSISTEMAS ESTRATEGICOS  - SISTEMAS AMBIENTALES DEL HUILA </t>
  </si>
  <si>
    <t>174863                         174854</t>
  </si>
  <si>
    <t xml:space="preserve">
ECOSISTEMAS ESTRATEGICOS - SISTEMAS AMBIENTALES </t>
  </si>
  <si>
    <t xml:space="preserve">ECOLOGIA Y ECOSISTEMAS - HISTORIA NATURAL DE LA TRANSFORMACION ECOLOGICA </t>
  </si>
  <si>
    <t>173999        173996</t>
  </si>
  <si>
    <t>ECOLOGIA  - HISTORIA NATURAL</t>
  </si>
  <si>
    <t>DIANA POLANIA CAVIEDES/ EDGAR ANDRES BERNAL CASTRO</t>
  </si>
  <si>
    <t>NEIVA - BALSILLAS - NEIVA</t>
  </si>
  <si>
    <t>174855                                                        174865</t>
  </si>
  <si>
    <t>PAISAJE ECOLOGICO - PROBLEMATICA ECOLOGICA  Y AMBIENTAL</t>
  </si>
  <si>
    <t>RIGOBERTO MAYOR POLANIA</t>
  </si>
  <si>
    <t xml:space="preserve">LUIS GERARDO FRANCO ARCE Y LISANDRO SOTO FLECHAS </t>
  </si>
  <si>
    <t xml:space="preserve">VICITA A HONDA, TOLIMA Y MUSEO DEL RIO MAGDALENA </t>
  </si>
  <si>
    <r>
      <rPr>
        <sz val="10"/>
        <color theme="1"/>
        <rFont val="Arial"/>
        <family val="2"/>
      </rPr>
      <t xml:space="preserve">PITALITO, NEIVA,NATAGAIMA,ESPINAL,PALMIRA,INGENIOS AZUCAREROS CAUCA Y PROVIDENCIA, PALMASECA, </t>
    </r>
    <r>
      <rPr>
        <sz val="10"/>
        <color rgb="FFFF0000"/>
        <rFont val="Arial"/>
        <family val="2"/>
      </rPr>
      <t>ANDALUCIA</t>
    </r>
  </si>
  <si>
    <t>RECONOCIMIENTO GEOLOGICO DE LA ESTRATIGRAFIA DE LAS SUBCUENCAS DE NEIVA</t>
  </si>
  <si>
    <t>172671         172681</t>
  </si>
  <si>
    <t>GEOLOGÍA GENERAL-01 y 02</t>
  </si>
  <si>
    <t>NEIVA - HOBO - GARZÓN - LA PLATA - TESALIA - NEIVA                                                                                                                                                           Día 1: Neiva - Hobo - Garzón - La Plata - Km 165                                 Día 2: La Plata - Aranzazu - La Plata - Km 60 - La Plata - Tesalia Km -40                                                                                                                                                  Día 3: Tesalia - Paicol - Neiva -Km 90                                                                 Total 315 Kilometros                                                                                       Hora de salida: 7:00 am                                                                             Hora de regreso: 6:00 pm</t>
  </si>
  <si>
    <t>Nelson Valbuena - Alberto Mora</t>
  </si>
  <si>
    <t>LICENCIATURA EN CIENCIAS NATURALES Y EDUCACION AMBIENTAL</t>
  </si>
  <si>
    <t>Práctica de Laboratorio complementaria a la Asignatura en el Observatorio Astronómico de Desierto de la Tatacoa</t>
  </si>
  <si>
    <t>BEEDCN51</t>
  </si>
  <si>
    <t>Astronomía G.01</t>
  </si>
  <si>
    <t>Juan Manuel Perea Espitia</t>
  </si>
  <si>
    <t>PLANTA</t>
  </si>
  <si>
    <t>Se solicita la realizaciónd e 8 Prácticas en diferentes Viernes - en el Observatorio Astronómico ASTROSUR - Desierto la Tatacoa – Vilalvieja (H)
 Hora de Salida cada Viernes de la Universidad: 05:00 p.m. 
 Hora Regreso del Observatorio: 10:00 p.m.
 Lugar Salida: Parqueadero Ingeniería. Esta solicitud fue justificada junto a los demás cursos donde redujeron el número de prácticasinicialmente solicitadas para este semestre 2022-2 Memorando 214 del pasado 30 de agosto de 2022, donde se especifica que la realización de estas prácticas hacen parte esencial para el conocimiento del estudiante.</t>
  </si>
  <si>
    <t>Manejo de residuos sólidos y espacios no convencionales para la educación ambiental.</t>
  </si>
  <si>
    <t>Gestión y Educación Ambiental</t>
  </si>
  <si>
    <t>Luz Adriana Cruz Herrera</t>
  </si>
  <si>
    <t>Ruta: Neiva - Pitalito - San Agustín - Neiva - Esta solicitud fue justificada junto a los demás cursos donde se redujeron el número de prácticasinicialmente solicitadas para este semestre 2022-2, mediante Memorando 214 del pasado 30 de agosto de 2022, donde se especifica que la realización de estas prácticas hacen parte esencial para el conocimiento del estudiante</t>
  </si>
  <si>
    <t>NEIVA-IQUIRA - PARQUE NACIONAL CERRO BANDERAS OJO BLANCO (TARPEYA) - IQUIRA -NEIVA</t>
  </si>
  <si>
    <t xml:space="preserve">NEIVA-MEDELLIN-CARMEN DE VIBORAL -NEIVA </t>
  </si>
  <si>
    <t xml:space="preserve">PRACTICA PEDAGOGICA I </t>
  </si>
  <si>
    <t>NEIVA-GUACIARCO-SEDE TAMARINDO-NEIVA</t>
  </si>
  <si>
    <t>FORMACION OBSERVACION I Y II</t>
  </si>
  <si>
    <t xml:space="preserve">DEPARTAMENTO DE SALUD PÚBLICA </t>
  </si>
  <si>
    <t xml:space="preserve">PRÁCTICA FINAL ATENCIÓN PREHOSPITALARIA </t>
  </si>
  <si>
    <t>BFSAMS02</t>
  </si>
  <si>
    <t>ATENCION PREHOSPITALARIA</t>
  </si>
  <si>
    <t>HUMBERTO CUELLAR RAMON</t>
  </si>
  <si>
    <t>FINCA RECREACIONAL LOS AZAHARES. NEIVA, CAGUAN, LA ULLOA HACIA REIVERA.</t>
  </si>
  <si>
    <t>PROYECTO EDUCATIVO COMUNITARIO RESGUARDO YANACUNAS PITALITO</t>
  </si>
  <si>
    <t>169424-05</t>
  </si>
  <si>
    <t>SOCIOLOGIA DE LA EDUCACION</t>
  </si>
  <si>
    <t>NEIVA-PITALITO-SAN AGUSTIN-ISNOS-SAN AGUSTIN- LA JAGUA-NEIVA</t>
  </si>
  <si>
    <t>BEECEM27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</si>
</sst>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 $]#,##0"/>
    <numFmt numFmtId="165" formatCode="d/\ mmmm/yyyy"/>
    <numFmt numFmtId="166" formatCode="d/mmmm/yyyy"/>
    <numFmt numFmtId="167" formatCode="dd/mmmm/yyyy"/>
    <numFmt numFmtId="168" formatCode="dd/\ mmmm/yyyy"/>
    <numFmt numFmtId="169" formatCode="d/m/yyyy"/>
    <numFmt numFmtId="170" formatCode="d/m/yy"/>
    <numFmt numFmtId="171" formatCode="d/mmmm/\ yyyy"/>
  </numFmts>
  <fonts count="12" x14ac:knownFonts="1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AD142E"/>
        <bgColor rgb="FFAD142E"/>
      </patternFill>
    </fill>
    <fill>
      <patternFill patternType="solid">
        <fgColor rgb="FFEAD1DC"/>
        <bgColor rgb="FFEAD1DC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4" borderId="6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6" fillId="0" borderId="0" xfId="0" applyFont="1"/>
    <xf numFmtId="0" fontId="3" fillId="4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8" fillId="2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0" xfId="0" applyNumberFormat="1" applyFont="1"/>
    <xf numFmtId="0" fontId="7" fillId="11" borderId="0" xfId="0" applyFont="1" applyFill="1" applyAlignment="1">
      <alignment horizontal="left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164" fontId="8" fillId="2" borderId="7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12" borderId="7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165" fontId="9" fillId="0" borderId="7" xfId="0" applyNumberFormat="1" applyFont="1" applyBorder="1" applyAlignment="1">
      <alignment horizontal="center" vertical="center" wrapText="1"/>
    </xf>
    <xf numFmtId="166" fontId="9" fillId="0" borderId="7" xfId="0" applyNumberFormat="1" applyFont="1" applyBorder="1" applyAlignment="1">
      <alignment horizontal="center" vertical="center" wrapText="1"/>
    </xf>
    <xf numFmtId="168" fontId="9" fillId="0" borderId="7" xfId="0" applyNumberFormat="1" applyFont="1" applyBorder="1" applyAlignment="1">
      <alignment horizontal="center" vertical="center" wrapText="1"/>
    </xf>
    <xf numFmtId="167" fontId="9" fillId="0" borderId="7" xfId="0" applyNumberFormat="1" applyFont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169" fontId="9" fillId="0" borderId="7" xfId="0" applyNumberFormat="1" applyFont="1" applyBorder="1" applyAlignment="1">
      <alignment horizontal="center" vertical="center" wrapText="1"/>
    </xf>
    <xf numFmtId="0" fontId="5" fillId="0" borderId="7" xfId="0" applyFont="1" applyBorder="1"/>
    <xf numFmtId="170" fontId="9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wrapText="1"/>
    </xf>
    <xf numFmtId="0" fontId="10" fillId="0" borderId="7" xfId="0" applyFont="1" applyBorder="1" applyAlignment="1">
      <alignment horizontal="center" wrapText="1"/>
    </xf>
    <xf numFmtId="164" fontId="10" fillId="0" borderId="4" xfId="0" applyNumberFormat="1" applyFont="1" applyBorder="1" applyAlignment="1">
      <alignment horizontal="center" wrapText="1"/>
    </xf>
    <xf numFmtId="0" fontId="10" fillId="0" borderId="4" xfId="0" applyFont="1" applyBorder="1"/>
    <xf numFmtId="164" fontId="10" fillId="0" borderId="4" xfId="0" applyNumberFormat="1" applyFont="1" applyBorder="1"/>
    <xf numFmtId="167" fontId="5" fillId="0" borderId="7" xfId="0" applyNumberFormat="1" applyFont="1" applyBorder="1" applyAlignment="1">
      <alignment horizontal="center" vertical="center" wrapText="1"/>
    </xf>
    <xf numFmtId="166" fontId="5" fillId="0" borderId="7" xfId="0" applyNumberFormat="1" applyFont="1" applyBorder="1" applyAlignment="1">
      <alignment horizontal="center" vertical="center" wrapText="1"/>
    </xf>
    <xf numFmtId="171" fontId="9" fillId="0" borderId="7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7" fontId="10" fillId="0" borderId="4" xfId="0" applyNumberFormat="1" applyFont="1" applyBorder="1" applyAlignment="1">
      <alignment horizontal="center" vertical="center" wrapText="1"/>
    </xf>
    <xf numFmtId="166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/>
    </xf>
    <xf numFmtId="164" fontId="10" fillId="0" borderId="4" xfId="0" applyNumberFormat="1" applyFont="1" applyBorder="1" applyAlignment="1">
      <alignment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/>
    </xf>
    <xf numFmtId="0" fontId="10" fillId="0" borderId="0" xfId="0" applyFont="1" applyAlignment="1">
      <alignment vertical="center"/>
    </xf>
    <xf numFmtId="169" fontId="5" fillId="0" borderId="7" xfId="0" applyNumberFormat="1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9" fontId="5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3" fillId="7" borderId="9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5" xfId="0" applyFont="1" applyBorder="1"/>
    <xf numFmtId="0" fontId="3" fillId="5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B96-4D61-B16F-592762870B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B96-4D61-B16F-592762870B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B96-4D61-B16F-592762870B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B96-4D61-B16F-592762870B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B96-4D61-B16F-592762870B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CB96-4D61-B16F-592762870B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CB96-4D61-B16F-592762870B2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'RESUMEN 2022-2'!$M$3:$M$9</c:f>
              <c:strCache>
                <c:ptCount val="7"/>
                <c:pt idx="0">
                  <c:v>EDUCACIÓN</c:v>
                </c:pt>
                <c:pt idx="1">
                  <c:v>CIENCIAS SOCIALES Y HUMANAS</c:v>
                </c:pt>
                <c:pt idx="2">
                  <c:v>CIENCIAS JURIDICAS Y POLITICAS</c:v>
                </c:pt>
                <c:pt idx="3">
                  <c:v>INGENIERIA</c:v>
                </c:pt>
                <c:pt idx="4">
                  <c:v>CIENCIAS EXACTAS Y NATURALES</c:v>
                </c:pt>
                <c:pt idx="5">
                  <c:v>ECONOMÍA Y ADMINISTRACIÓN</c:v>
                </c:pt>
                <c:pt idx="6">
                  <c:v>SALUD</c:v>
                </c:pt>
              </c:strCache>
            </c:strRef>
          </c:cat>
          <c:val>
            <c:numRef>
              <c:f>'RESUMEN 2022-2'!$N$3:$N$9</c:f>
              <c:numCache>
                <c:formatCode>General</c:formatCode>
                <c:ptCount val="7"/>
                <c:pt idx="0">
                  <c:v>45</c:v>
                </c:pt>
                <c:pt idx="1">
                  <c:v>15</c:v>
                </c:pt>
                <c:pt idx="2">
                  <c:v>2</c:v>
                </c:pt>
                <c:pt idx="3">
                  <c:v>125</c:v>
                </c:pt>
                <c:pt idx="4">
                  <c:v>26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B96-4D61-B16F-592762870B2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238125</xdr:colOff>
      <xdr:row>2</xdr:row>
      <xdr:rowOff>142875</xdr:rowOff>
    </xdr:from>
    <xdr:ext cx="710565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61"/>
  <sheetViews>
    <sheetView tabSelected="1" topLeftCell="L1" workbookViewId="0">
      <pane ySplit="2" topLeftCell="A5" activePane="bottomLeft" state="frozen"/>
      <selection pane="bottomLeft" activeCell="W5" sqref="W5"/>
    </sheetView>
  </sheetViews>
  <sheetFormatPr baseColWidth="10" defaultColWidth="12.5703125" defaultRowHeight="15.75" customHeight="1" x14ac:dyDescent="0.2"/>
  <cols>
    <col min="1" max="1" width="19.140625" customWidth="1"/>
    <col min="2" max="2" width="8.140625" customWidth="1"/>
    <col min="3" max="3" width="11.5703125" customWidth="1"/>
    <col min="4" max="5" width="15.85546875" customWidth="1"/>
    <col min="6" max="6" width="28" customWidth="1"/>
    <col min="12" max="12" width="16.85546875" customWidth="1"/>
    <col min="13" max="13" width="31.28515625" customWidth="1"/>
    <col min="14" max="14" width="14.85546875" customWidth="1"/>
    <col min="15" max="15" width="17.85546875" customWidth="1"/>
  </cols>
  <sheetData>
    <row r="1" spans="1:14" ht="15" x14ac:dyDescent="0.25">
      <c r="D1" s="86" t="s">
        <v>0</v>
      </c>
      <c r="E1" s="87" t="s">
        <v>1</v>
      </c>
      <c r="F1" s="87" t="s">
        <v>2</v>
      </c>
      <c r="G1" s="89" t="s">
        <v>3</v>
      </c>
      <c r="H1" s="90"/>
      <c r="I1" s="90"/>
      <c r="J1" s="91"/>
      <c r="K1" s="1"/>
      <c r="M1" s="2"/>
      <c r="N1" s="2"/>
    </row>
    <row r="2" spans="1:14" ht="45" x14ac:dyDescent="0.25">
      <c r="D2" s="83"/>
      <c r="E2" s="88"/>
      <c r="F2" s="88"/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M2" s="75" t="s">
        <v>1</v>
      </c>
      <c r="N2" s="4" t="s">
        <v>9</v>
      </c>
    </row>
    <row r="3" spans="1:14" ht="30" x14ac:dyDescent="0.25">
      <c r="A3" s="92" t="s">
        <v>10</v>
      </c>
      <c r="B3" s="91"/>
      <c r="D3" s="5" t="s">
        <v>11</v>
      </c>
      <c r="E3" s="85" t="s">
        <v>12</v>
      </c>
      <c r="F3" s="6" t="s">
        <v>13</v>
      </c>
      <c r="G3" s="6"/>
      <c r="H3" s="6">
        <v>3</v>
      </c>
      <c r="I3" s="6"/>
      <c r="J3" s="6"/>
      <c r="K3" s="85">
        <v>45</v>
      </c>
      <c r="M3" s="76" t="s">
        <v>12</v>
      </c>
      <c r="N3" s="7">
        <f>K3</f>
        <v>45</v>
      </c>
    </row>
    <row r="4" spans="1:14" ht="15" x14ac:dyDescent="0.25">
      <c r="A4" s="8" t="s">
        <v>4</v>
      </c>
      <c r="B4" s="9">
        <f>G26</f>
        <v>30</v>
      </c>
      <c r="D4" s="5" t="s">
        <v>11</v>
      </c>
      <c r="E4" s="82"/>
      <c r="F4" s="6"/>
      <c r="G4" s="6"/>
      <c r="H4" s="6"/>
      <c r="I4" s="6"/>
      <c r="J4" s="6"/>
      <c r="K4" s="82"/>
      <c r="M4" s="76" t="s">
        <v>14</v>
      </c>
      <c r="N4" s="7">
        <f>K12</f>
        <v>15</v>
      </c>
    </row>
    <row r="5" spans="1:14" ht="30" x14ac:dyDescent="0.25">
      <c r="A5" s="8" t="s">
        <v>5</v>
      </c>
      <c r="B5" s="9">
        <f>H26</f>
        <v>181</v>
      </c>
      <c r="D5" s="5" t="s">
        <v>11</v>
      </c>
      <c r="E5" s="82"/>
      <c r="F5" s="6" t="s">
        <v>15</v>
      </c>
      <c r="G5" s="6">
        <v>1</v>
      </c>
      <c r="H5" s="6"/>
      <c r="I5" s="6"/>
      <c r="J5" s="6"/>
      <c r="K5" s="82"/>
      <c r="M5" s="76" t="s">
        <v>16</v>
      </c>
      <c r="N5" s="7">
        <f t="shared" ref="N5:N6" si="0">K16</f>
        <v>2</v>
      </c>
    </row>
    <row r="6" spans="1:14" ht="45" x14ac:dyDescent="0.25">
      <c r="A6" s="8" t="s">
        <v>6</v>
      </c>
      <c r="B6" s="9">
        <v>1</v>
      </c>
      <c r="D6" s="5" t="s">
        <v>11</v>
      </c>
      <c r="E6" s="82"/>
      <c r="F6" s="6" t="s">
        <v>17</v>
      </c>
      <c r="G6" s="6">
        <v>9</v>
      </c>
      <c r="H6" s="6">
        <v>7</v>
      </c>
      <c r="I6" s="6"/>
      <c r="J6" s="6"/>
      <c r="K6" s="82"/>
      <c r="M6" s="76" t="s">
        <v>18</v>
      </c>
      <c r="N6" s="7">
        <f t="shared" si="0"/>
        <v>125</v>
      </c>
    </row>
    <row r="7" spans="1:14" ht="30" x14ac:dyDescent="0.25">
      <c r="A7" s="8" t="s">
        <v>7</v>
      </c>
      <c r="B7" s="9">
        <v>1</v>
      </c>
      <c r="D7" s="5" t="s">
        <v>11</v>
      </c>
      <c r="E7" s="82"/>
      <c r="F7" s="6" t="s">
        <v>19</v>
      </c>
      <c r="G7" s="6"/>
      <c r="H7" s="6">
        <v>4</v>
      </c>
      <c r="I7" s="6"/>
      <c r="J7" s="6"/>
      <c r="K7" s="82"/>
      <c r="M7" s="76" t="s">
        <v>20</v>
      </c>
      <c r="N7" s="7">
        <f>K25</f>
        <v>26</v>
      </c>
    </row>
    <row r="8" spans="1:14" ht="30" x14ac:dyDescent="0.25">
      <c r="A8" s="9"/>
      <c r="B8" s="9">
        <f>SUM(B4:B7)</f>
        <v>213</v>
      </c>
      <c r="D8" s="5" t="s">
        <v>11</v>
      </c>
      <c r="E8" s="82"/>
      <c r="F8" s="6" t="s">
        <v>21</v>
      </c>
      <c r="G8" s="6">
        <v>1</v>
      </c>
      <c r="H8" s="6">
        <v>7</v>
      </c>
      <c r="I8" s="6"/>
      <c r="J8" s="6"/>
      <c r="K8" s="82"/>
      <c r="M8" s="76" t="s">
        <v>22</v>
      </c>
      <c r="N8" s="7">
        <v>0</v>
      </c>
    </row>
    <row r="9" spans="1:14" ht="30" x14ac:dyDescent="0.25">
      <c r="A9" s="10"/>
      <c r="B9" s="10"/>
      <c r="D9" s="5" t="s">
        <v>11</v>
      </c>
      <c r="E9" s="82"/>
      <c r="F9" s="6" t="s">
        <v>23</v>
      </c>
      <c r="G9" s="6"/>
      <c r="H9" s="6"/>
      <c r="I9" s="6"/>
      <c r="J9" s="6">
        <v>1</v>
      </c>
      <c r="K9" s="82"/>
      <c r="M9" s="76" t="s">
        <v>24</v>
      </c>
      <c r="N9" s="7">
        <v>0</v>
      </c>
    </row>
    <row r="10" spans="1:14" ht="45" x14ac:dyDescent="0.25">
      <c r="D10" s="5" t="s">
        <v>11</v>
      </c>
      <c r="E10" s="82"/>
      <c r="F10" s="6" t="s">
        <v>25</v>
      </c>
      <c r="G10" s="6"/>
      <c r="H10" s="6">
        <v>5</v>
      </c>
      <c r="I10" s="6"/>
      <c r="J10" s="6"/>
      <c r="K10" s="82"/>
      <c r="M10" s="77" t="s">
        <v>26</v>
      </c>
      <c r="N10" s="11">
        <v>213</v>
      </c>
    </row>
    <row r="11" spans="1:14" ht="30" x14ac:dyDescent="0.2">
      <c r="D11" s="5" t="s">
        <v>11</v>
      </c>
      <c r="E11" s="83"/>
      <c r="F11" s="6" t="s">
        <v>27</v>
      </c>
      <c r="G11" s="6">
        <v>5</v>
      </c>
      <c r="H11" s="6">
        <v>2</v>
      </c>
      <c r="I11" s="6"/>
      <c r="J11" s="6"/>
      <c r="K11" s="83"/>
    </row>
    <row r="12" spans="1:14" ht="15" x14ac:dyDescent="0.2">
      <c r="D12" s="12" t="s">
        <v>11</v>
      </c>
      <c r="E12" s="84" t="s">
        <v>14</v>
      </c>
      <c r="F12" s="13" t="s">
        <v>28</v>
      </c>
      <c r="G12" s="13"/>
      <c r="H12" s="13">
        <v>5</v>
      </c>
      <c r="I12" s="13"/>
      <c r="J12" s="13"/>
      <c r="K12" s="84">
        <v>15</v>
      </c>
    </row>
    <row r="13" spans="1:14" ht="30" x14ac:dyDescent="0.2">
      <c r="D13" s="12" t="s">
        <v>29</v>
      </c>
      <c r="E13" s="82"/>
      <c r="F13" s="13" t="s">
        <v>30</v>
      </c>
      <c r="G13" s="13">
        <v>1</v>
      </c>
      <c r="H13" s="13">
        <v>1</v>
      </c>
      <c r="I13" s="13"/>
      <c r="J13" s="13"/>
      <c r="K13" s="82"/>
    </row>
    <row r="14" spans="1:14" ht="30" x14ac:dyDescent="0.2">
      <c r="D14" s="12" t="s">
        <v>11</v>
      </c>
      <c r="E14" s="82"/>
      <c r="F14" s="13" t="s">
        <v>30</v>
      </c>
      <c r="G14" s="13">
        <v>2</v>
      </c>
      <c r="H14" s="13">
        <v>4</v>
      </c>
      <c r="I14" s="13"/>
      <c r="J14" s="13"/>
      <c r="K14" s="82"/>
    </row>
    <row r="15" spans="1:14" ht="15" x14ac:dyDescent="0.2">
      <c r="D15" s="12" t="s">
        <v>11</v>
      </c>
      <c r="E15" s="83"/>
      <c r="F15" s="13" t="s">
        <v>31</v>
      </c>
      <c r="G15" s="13">
        <v>1</v>
      </c>
      <c r="H15" s="13">
        <v>1</v>
      </c>
      <c r="I15" s="13"/>
      <c r="J15" s="13"/>
      <c r="K15" s="83"/>
    </row>
    <row r="16" spans="1:14" ht="45" x14ac:dyDescent="0.2">
      <c r="D16" s="14" t="s">
        <v>11</v>
      </c>
      <c r="E16" s="15" t="s">
        <v>16</v>
      </c>
      <c r="F16" s="15" t="s">
        <v>32</v>
      </c>
      <c r="G16" s="15">
        <v>2</v>
      </c>
      <c r="H16" s="15"/>
      <c r="I16" s="15"/>
      <c r="J16" s="15"/>
      <c r="K16" s="15">
        <f>G16</f>
        <v>2</v>
      </c>
    </row>
    <row r="17" spans="2:11" ht="15" x14ac:dyDescent="0.2">
      <c r="D17" s="16" t="s">
        <v>11</v>
      </c>
      <c r="E17" s="81" t="s">
        <v>18</v>
      </c>
      <c r="F17" s="17" t="s">
        <v>33</v>
      </c>
      <c r="G17" s="17"/>
      <c r="H17" s="17">
        <v>9</v>
      </c>
      <c r="I17" s="17"/>
      <c r="J17" s="17"/>
      <c r="K17" s="81">
        <v>125</v>
      </c>
    </row>
    <row r="18" spans="2:11" ht="15" x14ac:dyDescent="0.2">
      <c r="D18" s="16" t="s">
        <v>34</v>
      </c>
      <c r="E18" s="82"/>
      <c r="F18" s="17" t="s">
        <v>35</v>
      </c>
      <c r="G18" s="17">
        <v>3</v>
      </c>
      <c r="H18" s="17">
        <v>29</v>
      </c>
      <c r="I18" s="17">
        <v>1</v>
      </c>
      <c r="J18" s="17"/>
      <c r="K18" s="82"/>
    </row>
    <row r="19" spans="2:11" ht="15" x14ac:dyDescent="0.2">
      <c r="D19" s="16" t="s">
        <v>36</v>
      </c>
      <c r="E19" s="82"/>
      <c r="F19" s="17" t="s">
        <v>35</v>
      </c>
      <c r="G19" s="17"/>
      <c r="H19" s="17">
        <v>30</v>
      </c>
      <c r="I19" s="17"/>
      <c r="J19" s="17"/>
      <c r="K19" s="82"/>
    </row>
    <row r="20" spans="2:11" ht="15" x14ac:dyDescent="0.2">
      <c r="D20" s="16" t="s">
        <v>29</v>
      </c>
      <c r="E20" s="82"/>
      <c r="F20" s="17" t="s">
        <v>35</v>
      </c>
      <c r="G20" s="17">
        <v>2</v>
      </c>
      <c r="H20" s="17">
        <v>16</v>
      </c>
      <c r="I20" s="17"/>
      <c r="J20" s="17"/>
      <c r="K20" s="82"/>
    </row>
    <row r="21" spans="2:11" ht="15" x14ac:dyDescent="0.2">
      <c r="D21" s="16" t="s">
        <v>11</v>
      </c>
      <c r="E21" s="82"/>
      <c r="F21" s="17" t="s">
        <v>35</v>
      </c>
      <c r="G21" s="17">
        <v>2</v>
      </c>
      <c r="H21" s="17">
        <v>19</v>
      </c>
      <c r="I21" s="17"/>
      <c r="J21" s="17"/>
      <c r="K21" s="82"/>
    </row>
    <row r="22" spans="2:11" ht="15" x14ac:dyDescent="0.2">
      <c r="D22" s="16" t="s">
        <v>11</v>
      </c>
      <c r="E22" s="82"/>
      <c r="F22" s="17" t="s">
        <v>37</v>
      </c>
      <c r="G22" s="17"/>
      <c r="H22" s="17">
        <v>1</v>
      </c>
      <c r="I22" s="17"/>
      <c r="J22" s="17"/>
      <c r="K22" s="82"/>
    </row>
    <row r="23" spans="2:11" ht="15" x14ac:dyDescent="0.2">
      <c r="D23" s="16" t="s">
        <v>11</v>
      </c>
      <c r="E23" s="82"/>
      <c r="F23" s="17" t="s">
        <v>38</v>
      </c>
      <c r="G23" s="17">
        <v>1</v>
      </c>
      <c r="H23" s="17">
        <v>5</v>
      </c>
      <c r="I23" s="17"/>
      <c r="J23" s="17"/>
      <c r="K23" s="82"/>
    </row>
    <row r="24" spans="2:11" ht="15" x14ac:dyDescent="0.2">
      <c r="D24" s="16" t="s">
        <v>11</v>
      </c>
      <c r="E24" s="83"/>
      <c r="F24" s="17" t="s">
        <v>39</v>
      </c>
      <c r="G24" s="17"/>
      <c r="H24" s="17">
        <v>7</v>
      </c>
      <c r="I24" s="17"/>
      <c r="J24" s="17"/>
      <c r="K24" s="83"/>
    </row>
    <row r="25" spans="2:11" ht="45" x14ac:dyDescent="0.2">
      <c r="D25" s="18" t="s">
        <v>11</v>
      </c>
      <c r="E25" s="19" t="s">
        <v>20</v>
      </c>
      <c r="F25" s="19" t="s">
        <v>40</v>
      </c>
      <c r="G25" s="19"/>
      <c r="H25" s="19">
        <v>26</v>
      </c>
      <c r="I25" s="19"/>
      <c r="J25" s="19"/>
      <c r="K25" s="19">
        <v>26</v>
      </c>
    </row>
    <row r="26" spans="2:11" ht="15" x14ac:dyDescent="0.25">
      <c r="D26" s="20"/>
      <c r="E26" s="20"/>
      <c r="F26" s="21" t="s">
        <v>26</v>
      </c>
      <c r="G26" s="21">
        <f t="shared" ref="G26:K26" si="1">SUM(G3:G25)</f>
        <v>30</v>
      </c>
      <c r="H26" s="21">
        <f t="shared" si="1"/>
        <v>181</v>
      </c>
      <c r="I26" s="21">
        <f t="shared" si="1"/>
        <v>1</v>
      </c>
      <c r="J26" s="21">
        <f t="shared" si="1"/>
        <v>1</v>
      </c>
      <c r="K26" s="21">
        <f t="shared" si="1"/>
        <v>213</v>
      </c>
    </row>
    <row r="30" spans="2:11" ht="12.75" x14ac:dyDescent="0.2">
      <c r="E30" s="22"/>
    </row>
    <row r="31" spans="2:11" ht="12.75" x14ac:dyDescent="0.2">
      <c r="B31" s="23" t="s">
        <v>41</v>
      </c>
      <c r="C31" s="24" t="s">
        <v>42</v>
      </c>
      <c r="E31" s="22"/>
    </row>
    <row r="32" spans="2:11" ht="12.75" x14ac:dyDescent="0.2">
      <c r="C32" s="24" t="s">
        <v>43</v>
      </c>
      <c r="E32" s="22"/>
    </row>
    <row r="33" spans="1:15" ht="12.75" x14ac:dyDescent="0.2">
      <c r="E33" s="22"/>
    </row>
    <row r="34" spans="1:15" ht="12.75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ht="38.25" customHeight="1" x14ac:dyDescent="0.2">
      <c r="A35" s="10"/>
      <c r="B35" s="10"/>
      <c r="C35" s="25" t="s">
        <v>44</v>
      </c>
      <c r="D35" s="25" t="s">
        <v>45</v>
      </c>
      <c r="E35" s="25" t="s">
        <v>46</v>
      </c>
      <c r="F35" s="25" t="s">
        <v>47</v>
      </c>
      <c r="G35" s="25" t="s">
        <v>48</v>
      </c>
      <c r="H35" s="25" t="s">
        <v>49</v>
      </c>
      <c r="I35" s="25" t="s">
        <v>50</v>
      </c>
      <c r="J35" s="25" t="s">
        <v>51</v>
      </c>
      <c r="L35" s="10"/>
      <c r="M35" s="10"/>
      <c r="N35" s="10"/>
      <c r="O35" s="10"/>
    </row>
    <row r="36" spans="1:15" ht="12.75" x14ac:dyDescent="0.2">
      <c r="A36" s="10" t="s">
        <v>52</v>
      </c>
      <c r="B36" s="10"/>
      <c r="C36" s="26">
        <v>213</v>
      </c>
      <c r="D36" s="26" t="s">
        <v>53</v>
      </c>
      <c r="E36" s="26" t="s">
        <v>54</v>
      </c>
      <c r="F36" s="26" t="s">
        <v>55</v>
      </c>
      <c r="G36" s="26">
        <v>0</v>
      </c>
      <c r="H36" s="26" t="s">
        <v>56</v>
      </c>
      <c r="I36" s="26" t="s">
        <v>57</v>
      </c>
      <c r="J36" s="26" t="s">
        <v>58</v>
      </c>
      <c r="L36" s="10"/>
      <c r="M36" s="10"/>
      <c r="N36" s="10"/>
      <c r="O36" s="10"/>
    </row>
    <row r="37" spans="1:15" ht="12.75" x14ac:dyDescent="0.2">
      <c r="A37" s="10" t="s">
        <v>59</v>
      </c>
      <c r="B37" s="10"/>
      <c r="C37" s="26">
        <v>162</v>
      </c>
      <c r="D37" s="26" t="s">
        <v>60</v>
      </c>
      <c r="E37" s="26" t="s">
        <v>61</v>
      </c>
      <c r="F37" s="26" t="s">
        <v>62</v>
      </c>
      <c r="G37" s="26">
        <v>0</v>
      </c>
      <c r="H37" s="26" t="s">
        <v>63</v>
      </c>
      <c r="I37" s="26" t="s">
        <v>64</v>
      </c>
      <c r="J37" s="26" t="s">
        <v>65</v>
      </c>
      <c r="L37" s="10"/>
      <c r="M37" s="10"/>
      <c r="N37" s="10"/>
      <c r="O37" s="10"/>
    </row>
    <row r="38" spans="1:15" ht="12.75" x14ac:dyDescent="0.2">
      <c r="A38" s="10" t="s">
        <v>4</v>
      </c>
      <c r="B38" s="10"/>
      <c r="C38" s="27">
        <v>29</v>
      </c>
      <c r="D38" s="27" t="s">
        <v>66</v>
      </c>
      <c r="E38" s="27" t="s">
        <v>67</v>
      </c>
      <c r="F38" s="27" t="s">
        <v>68</v>
      </c>
      <c r="G38" s="27">
        <v>0</v>
      </c>
      <c r="H38" s="27" t="s">
        <v>69</v>
      </c>
      <c r="I38" s="27" t="s">
        <v>70</v>
      </c>
      <c r="J38" s="27" t="s">
        <v>71</v>
      </c>
      <c r="L38" s="10"/>
      <c r="M38" s="10"/>
      <c r="N38" s="10"/>
      <c r="O38" s="10"/>
    </row>
    <row r="39" spans="1:15" ht="38.25" x14ac:dyDescent="0.2">
      <c r="A39" s="10" t="s">
        <v>72</v>
      </c>
      <c r="B39" s="10"/>
      <c r="C39" s="28">
        <v>22</v>
      </c>
      <c r="D39" s="28">
        <v>0</v>
      </c>
      <c r="E39" s="28">
        <v>0</v>
      </c>
      <c r="F39" s="28">
        <v>0</v>
      </c>
      <c r="G39" s="28">
        <v>0</v>
      </c>
      <c r="H39" s="28" t="s">
        <v>73</v>
      </c>
      <c r="I39" s="28" t="s">
        <v>74</v>
      </c>
      <c r="J39" s="28" t="s">
        <v>75</v>
      </c>
      <c r="K39" s="24" t="s">
        <v>76</v>
      </c>
      <c r="L39" s="10"/>
      <c r="M39" s="10"/>
      <c r="N39" s="10"/>
      <c r="O39" s="10"/>
    </row>
    <row r="40" spans="1:15" ht="12.75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12.75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ht="51" x14ac:dyDescent="0.2">
      <c r="A42" s="10" t="s">
        <v>77</v>
      </c>
      <c r="B42" s="10"/>
      <c r="C42" s="25" t="s">
        <v>44</v>
      </c>
      <c r="D42" s="25" t="s">
        <v>45</v>
      </c>
      <c r="E42" s="25" t="s">
        <v>46</v>
      </c>
      <c r="F42" s="25" t="s">
        <v>47</v>
      </c>
      <c r="G42" s="25" t="s">
        <v>48</v>
      </c>
      <c r="H42" s="25" t="s">
        <v>49</v>
      </c>
      <c r="I42" s="25" t="s">
        <v>50</v>
      </c>
      <c r="J42" s="25" t="s">
        <v>51</v>
      </c>
      <c r="K42" s="10"/>
      <c r="L42" s="10"/>
      <c r="M42" s="10"/>
      <c r="N42" s="10"/>
      <c r="O42" s="10"/>
    </row>
    <row r="43" spans="1:15" ht="25.5" x14ac:dyDescent="0.2">
      <c r="C43" s="29">
        <v>161</v>
      </c>
      <c r="D43" s="30">
        <f>'TEORICO - PRACTICOS'!P162</f>
        <v>20490000</v>
      </c>
      <c r="E43" s="30">
        <f>'TEORICO - PRACTICOS'!Q162</f>
        <v>10174000</v>
      </c>
      <c r="F43" s="30">
        <f>'TEORICO - PRACTICOS'!R162</f>
        <v>2440000</v>
      </c>
      <c r="G43" s="29">
        <f>'TEORICO - PRACTICOS'!S162</f>
        <v>0</v>
      </c>
      <c r="H43" s="30">
        <f>'TEORICO - PRACTICOS'!T162</f>
        <v>350385000</v>
      </c>
      <c r="I43" s="30">
        <f>'TEORICO - PRACTICOS'!V162</f>
        <v>60836362</v>
      </c>
      <c r="J43" s="30">
        <f>'TEORICO - PRACTICOS'!W162</f>
        <v>444325362</v>
      </c>
      <c r="K43" s="31">
        <f>592159514-J43-19170000</f>
        <v>128664152</v>
      </c>
      <c r="L43" s="32" t="s">
        <v>78</v>
      </c>
    </row>
    <row r="44" spans="1:15" ht="12.75" x14ac:dyDescent="0.2">
      <c r="K44" s="33"/>
      <c r="L44" s="34"/>
    </row>
    <row r="47" spans="1:15" ht="12.75" x14ac:dyDescent="0.2">
      <c r="B47" s="23" t="s">
        <v>79</v>
      </c>
    </row>
    <row r="49" spans="1:11" ht="12.75" x14ac:dyDescent="0.2">
      <c r="A49" s="35" t="s">
        <v>80</v>
      </c>
      <c r="B49" s="80" t="s">
        <v>81</v>
      </c>
      <c r="C49" s="78"/>
      <c r="D49" s="78"/>
      <c r="E49" s="78"/>
      <c r="F49" s="78"/>
      <c r="G49" s="78"/>
      <c r="H49" s="78"/>
      <c r="I49" s="78"/>
      <c r="J49" s="78"/>
      <c r="K49" s="78"/>
    </row>
    <row r="50" spans="1:11" ht="12.75" x14ac:dyDescent="0.2">
      <c r="A50" s="35" t="s">
        <v>82</v>
      </c>
      <c r="B50" s="80" t="s">
        <v>83</v>
      </c>
      <c r="C50" s="78"/>
      <c r="D50" s="78"/>
      <c r="E50" s="78"/>
      <c r="F50" s="78"/>
      <c r="G50" s="78"/>
      <c r="H50" s="78"/>
      <c r="I50" s="78"/>
      <c r="J50" s="78"/>
      <c r="K50" s="78"/>
    </row>
    <row r="51" spans="1:11" ht="12.75" x14ac:dyDescent="0.2">
      <c r="A51" s="35" t="s">
        <v>84</v>
      </c>
      <c r="B51" s="80" t="s">
        <v>85</v>
      </c>
      <c r="C51" s="78"/>
      <c r="D51" s="78"/>
      <c r="E51" s="78"/>
      <c r="F51" s="78"/>
      <c r="G51" s="78"/>
      <c r="H51" s="78"/>
      <c r="I51" s="78"/>
      <c r="J51" s="78"/>
      <c r="K51" s="78"/>
    </row>
    <row r="53" spans="1:11" ht="12.75" x14ac:dyDescent="0.2">
      <c r="B53" s="79" t="s">
        <v>86</v>
      </c>
      <c r="C53" s="78"/>
      <c r="D53" s="78"/>
      <c r="E53" s="78"/>
      <c r="F53" s="78"/>
      <c r="G53" s="78"/>
      <c r="H53" s="78"/>
      <c r="I53" s="78"/>
      <c r="J53" s="78"/>
      <c r="K53" s="78"/>
    </row>
    <row r="54" spans="1:11" ht="12.75" x14ac:dyDescent="0.2">
      <c r="A54" s="35" t="s">
        <v>80</v>
      </c>
      <c r="B54" s="79" t="s">
        <v>87</v>
      </c>
      <c r="C54" s="78"/>
      <c r="D54" s="78"/>
      <c r="E54" s="78"/>
      <c r="F54" s="78"/>
      <c r="G54" s="78"/>
      <c r="H54" s="78"/>
      <c r="I54" s="78"/>
      <c r="J54" s="78"/>
      <c r="K54" s="78"/>
    </row>
    <row r="55" spans="1:11" ht="12.75" x14ac:dyDescent="0.2">
      <c r="A55" s="35" t="s">
        <v>82</v>
      </c>
      <c r="B55" s="79" t="s">
        <v>88</v>
      </c>
      <c r="C55" s="78"/>
      <c r="D55" s="78"/>
      <c r="E55" s="78"/>
      <c r="F55" s="78"/>
      <c r="G55" s="78"/>
      <c r="H55" s="78"/>
      <c r="I55" s="78"/>
      <c r="J55" s="78"/>
      <c r="K55" s="78"/>
    </row>
    <row r="56" spans="1:11" ht="12.75" x14ac:dyDescent="0.2">
      <c r="A56" s="35" t="s">
        <v>84</v>
      </c>
      <c r="B56" s="79" t="s">
        <v>89</v>
      </c>
      <c r="C56" s="78"/>
      <c r="D56" s="78"/>
      <c r="E56" s="78"/>
      <c r="F56" s="78"/>
      <c r="G56" s="78"/>
      <c r="H56" s="78"/>
      <c r="I56" s="78"/>
      <c r="J56" s="78"/>
      <c r="K56" s="78"/>
    </row>
    <row r="57" spans="1:11" ht="12.75" x14ac:dyDescent="0.2">
      <c r="A57" s="35" t="s">
        <v>90</v>
      </c>
      <c r="B57" s="79" t="s">
        <v>91</v>
      </c>
      <c r="C57" s="78"/>
      <c r="D57" s="78"/>
      <c r="E57" s="78"/>
      <c r="F57" s="78"/>
      <c r="G57" s="78"/>
      <c r="H57" s="78"/>
      <c r="I57" s="78"/>
      <c r="J57" s="78"/>
      <c r="K57" s="78"/>
    </row>
    <row r="58" spans="1:11" ht="15.75" customHeight="1" x14ac:dyDescent="0.2">
      <c r="B58" s="78"/>
      <c r="C58" s="78"/>
      <c r="D58" s="78"/>
      <c r="E58" s="78"/>
      <c r="F58" s="78"/>
      <c r="G58" s="78"/>
      <c r="H58" s="78"/>
      <c r="I58" s="78"/>
      <c r="J58" s="78"/>
      <c r="K58" s="78"/>
    </row>
    <row r="59" spans="1:11" ht="12.75" x14ac:dyDescent="0.2">
      <c r="B59" s="79" t="s">
        <v>92</v>
      </c>
      <c r="C59" s="78"/>
      <c r="D59" s="78"/>
      <c r="E59" s="78"/>
      <c r="F59" s="78"/>
      <c r="G59" s="78"/>
      <c r="H59" s="78"/>
      <c r="I59" s="78"/>
      <c r="J59" s="78"/>
      <c r="K59" s="78"/>
    </row>
    <row r="60" spans="1:11" ht="12.75" x14ac:dyDescent="0.2">
      <c r="A60" s="36" t="s">
        <v>80</v>
      </c>
      <c r="B60" s="80" t="s">
        <v>93</v>
      </c>
      <c r="C60" s="78"/>
      <c r="D60" s="78"/>
      <c r="E60" s="78"/>
      <c r="F60" s="78"/>
      <c r="G60" s="78"/>
      <c r="H60" s="78"/>
      <c r="I60" s="78"/>
      <c r="J60" s="78"/>
      <c r="K60" s="78"/>
    </row>
    <row r="61" spans="1:11" ht="12.75" x14ac:dyDescent="0.2">
      <c r="A61" s="36" t="s">
        <v>82</v>
      </c>
      <c r="B61" s="80" t="s">
        <v>94</v>
      </c>
      <c r="C61" s="78"/>
      <c r="D61" s="78"/>
      <c r="E61" s="78"/>
      <c r="F61" s="78"/>
      <c r="G61" s="78"/>
      <c r="H61" s="78"/>
      <c r="I61" s="78"/>
      <c r="J61" s="78"/>
      <c r="K61" s="78"/>
    </row>
  </sheetData>
  <mergeCells count="23">
    <mergeCell ref="D1:D2"/>
    <mergeCell ref="E1:E2"/>
    <mergeCell ref="F1:F2"/>
    <mergeCell ref="G1:J1"/>
    <mergeCell ref="A3:B3"/>
    <mergeCell ref="E3:E11"/>
    <mergeCell ref="E12:E15"/>
    <mergeCell ref="B56:K56"/>
    <mergeCell ref="B57:K57"/>
    <mergeCell ref="K3:K11"/>
    <mergeCell ref="K12:K15"/>
    <mergeCell ref="K17:K24"/>
    <mergeCell ref="B58:K58"/>
    <mergeCell ref="B59:K59"/>
    <mergeCell ref="B60:K60"/>
    <mergeCell ref="B61:K61"/>
    <mergeCell ref="E17:E24"/>
    <mergeCell ref="B49:K49"/>
    <mergeCell ref="B50:K50"/>
    <mergeCell ref="B51:K51"/>
    <mergeCell ref="B53:K53"/>
    <mergeCell ref="B54:K54"/>
    <mergeCell ref="B55:K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55"/>
  <sheetViews>
    <sheetView workbookViewId="0">
      <pane ySplit="1" topLeftCell="A161" activePane="bottomLeft" state="frozen"/>
      <selection pane="bottomLeft" activeCell="A161" sqref="A161"/>
    </sheetView>
  </sheetViews>
  <sheetFormatPr baseColWidth="10" defaultColWidth="12.5703125" defaultRowHeight="15.75" customHeight="1" x14ac:dyDescent="0.2"/>
  <cols>
    <col min="1" max="1" width="11.140625" customWidth="1"/>
    <col min="2" max="2" width="17.28515625" customWidth="1"/>
    <col min="3" max="3" width="34.28515625" customWidth="1"/>
    <col min="4" max="4" width="15" customWidth="1"/>
    <col min="5" max="5" width="19.42578125" customWidth="1"/>
    <col min="6" max="6" width="26.5703125" customWidth="1"/>
    <col min="7" max="7" width="26.140625" customWidth="1"/>
    <col min="8" max="8" width="19.28515625" customWidth="1"/>
    <col min="9" max="9" width="20.7109375" customWidth="1"/>
    <col min="10" max="10" width="19.42578125" customWidth="1"/>
    <col min="11" max="11" width="40.85546875" customWidth="1"/>
    <col min="12" max="12" width="11.42578125" customWidth="1"/>
    <col min="13" max="13" width="12.7109375" customWidth="1"/>
    <col min="14" max="14" width="19.28515625" customWidth="1"/>
    <col min="15" max="28" width="17" customWidth="1"/>
  </cols>
  <sheetData>
    <row r="1" spans="1:28" ht="57.75" customHeight="1" x14ac:dyDescent="0.2">
      <c r="A1" s="25" t="s">
        <v>0</v>
      </c>
      <c r="B1" s="25" t="s">
        <v>2</v>
      </c>
      <c r="C1" s="25" t="s">
        <v>95</v>
      </c>
      <c r="D1" s="25" t="s">
        <v>96</v>
      </c>
      <c r="E1" s="25" t="s">
        <v>97</v>
      </c>
      <c r="F1" s="25" t="s">
        <v>98</v>
      </c>
      <c r="G1" s="25" t="s">
        <v>99</v>
      </c>
      <c r="H1" s="25" t="s">
        <v>100</v>
      </c>
      <c r="I1" s="25" t="s">
        <v>101</v>
      </c>
      <c r="J1" s="25" t="s">
        <v>102</v>
      </c>
      <c r="K1" s="25" t="s">
        <v>103</v>
      </c>
      <c r="L1" s="25" t="s">
        <v>104</v>
      </c>
      <c r="M1" s="25" t="s">
        <v>105</v>
      </c>
      <c r="N1" s="25" t="s">
        <v>106</v>
      </c>
      <c r="O1" s="25" t="s">
        <v>107</v>
      </c>
      <c r="P1" s="37" t="s">
        <v>45</v>
      </c>
      <c r="Q1" s="37" t="s">
        <v>46</v>
      </c>
      <c r="R1" s="37" t="s">
        <v>47</v>
      </c>
      <c r="S1" s="25" t="s">
        <v>48</v>
      </c>
      <c r="T1" s="37" t="s">
        <v>49</v>
      </c>
      <c r="U1" s="25" t="s">
        <v>108</v>
      </c>
      <c r="V1" s="25" t="s">
        <v>50</v>
      </c>
      <c r="W1" s="25" t="s">
        <v>51</v>
      </c>
      <c r="X1" s="38"/>
      <c r="Y1" s="38"/>
      <c r="Z1" s="38"/>
      <c r="AA1" s="38"/>
      <c r="AB1" s="38"/>
    </row>
    <row r="2" spans="1:28" ht="93.75" customHeight="1" x14ac:dyDescent="0.2">
      <c r="A2" s="44" t="s">
        <v>109</v>
      </c>
      <c r="B2" s="44" t="s">
        <v>110</v>
      </c>
      <c r="C2" s="44" t="s">
        <v>111</v>
      </c>
      <c r="D2" s="44">
        <v>173832</v>
      </c>
      <c r="E2" s="44" t="s">
        <v>112</v>
      </c>
      <c r="F2" s="44" t="s">
        <v>113</v>
      </c>
      <c r="G2" s="44" t="s">
        <v>114</v>
      </c>
      <c r="H2" s="44" t="s">
        <v>115</v>
      </c>
      <c r="I2" s="45">
        <v>44833</v>
      </c>
      <c r="J2" s="46">
        <v>44833</v>
      </c>
      <c r="K2" s="44" t="s">
        <v>116</v>
      </c>
      <c r="L2" s="44">
        <v>1</v>
      </c>
      <c r="M2" s="44">
        <v>45</v>
      </c>
      <c r="N2" s="44"/>
      <c r="O2" s="44"/>
      <c r="P2" s="39"/>
      <c r="Q2" s="39"/>
      <c r="R2" s="39"/>
      <c r="S2" s="44"/>
      <c r="T2" s="39">
        <v>1140000</v>
      </c>
      <c r="U2" s="39">
        <v>150000</v>
      </c>
      <c r="V2" s="39">
        <f t="shared" ref="V2:V25" si="0">L2*U2</f>
        <v>150000</v>
      </c>
      <c r="W2" s="44"/>
      <c r="X2" s="38"/>
      <c r="Y2" s="38"/>
      <c r="Z2" s="38"/>
      <c r="AA2" s="38"/>
      <c r="AB2" s="38"/>
    </row>
    <row r="3" spans="1:28" ht="141.75" customHeight="1" x14ac:dyDescent="0.2">
      <c r="A3" s="44" t="s">
        <v>109</v>
      </c>
      <c r="B3" s="44" t="s">
        <v>110</v>
      </c>
      <c r="C3" s="44" t="s">
        <v>766</v>
      </c>
      <c r="D3" s="44" t="s">
        <v>767</v>
      </c>
      <c r="E3" s="44" t="s">
        <v>122</v>
      </c>
      <c r="F3" s="44" t="s">
        <v>768</v>
      </c>
      <c r="G3" s="44" t="s">
        <v>769</v>
      </c>
      <c r="H3" s="44" t="s">
        <v>120</v>
      </c>
      <c r="I3" s="46">
        <v>44834</v>
      </c>
      <c r="J3" s="47">
        <v>44835</v>
      </c>
      <c r="K3" s="44" t="s">
        <v>123</v>
      </c>
      <c r="L3" s="44">
        <v>2</v>
      </c>
      <c r="M3" s="44">
        <f>15+11+16</f>
        <v>42</v>
      </c>
      <c r="N3" s="44"/>
      <c r="O3" s="44"/>
      <c r="P3" s="39"/>
      <c r="Q3" s="39"/>
      <c r="R3" s="39"/>
      <c r="S3" s="44"/>
      <c r="T3" s="39">
        <v>3960000</v>
      </c>
      <c r="U3" s="39">
        <v>150000</v>
      </c>
      <c r="V3" s="39">
        <f t="shared" si="0"/>
        <v>300000</v>
      </c>
      <c r="W3" s="44"/>
      <c r="X3" s="38"/>
      <c r="Y3" s="38"/>
      <c r="Z3" s="38"/>
      <c r="AA3" s="38"/>
      <c r="AB3" s="38"/>
    </row>
    <row r="4" spans="1:28" ht="93.75" customHeight="1" x14ac:dyDescent="0.2">
      <c r="A4" s="44" t="s">
        <v>109</v>
      </c>
      <c r="B4" s="44" t="s">
        <v>110</v>
      </c>
      <c r="C4" s="44" t="s">
        <v>111</v>
      </c>
      <c r="D4" s="44">
        <v>174483</v>
      </c>
      <c r="E4" s="44" t="s">
        <v>112</v>
      </c>
      <c r="F4" s="44" t="s">
        <v>125</v>
      </c>
      <c r="G4" s="44" t="s">
        <v>114</v>
      </c>
      <c r="H4" s="44" t="s">
        <v>115</v>
      </c>
      <c r="I4" s="45">
        <v>44833</v>
      </c>
      <c r="J4" s="46">
        <v>44833</v>
      </c>
      <c r="K4" s="44" t="s">
        <v>116</v>
      </c>
      <c r="L4" s="44">
        <v>1</v>
      </c>
      <c r="M4" s="44">
        <v>8</v>
      </c>
      <c r="N4" s="44" t="s">
        <v>126</v>
      </c>
      <c r="O4" s="44"/>
      <c r="P4" s="39"/>
      <c r="Q4" s="39"/>
      <c r="R4" s="39"/>
      <c r="S4" s="44"/>
      <c r="T4" s="39">
        <v>420000</v>
      </c>
      <c r="U4" s="39">
        <v>150000</v>
      </c>
      <c r="V4" s="39">
        <f t="shared" si="0"/>
        <v>150000</v>
      </c>
      <c r="W4" s="44"/>
      <c r="X4" s="38"/>
      <c r="Y4" s="38"/>
      <c r="Z4" s="38"/>
      <c r="AA4" s="38"/>
      <c r="AB4" s="38"/>
    </row>
    <row r="5" spans="1:28" ht="93.75" customHeight="1" x14ac:dyDescent="0.2">
      <c r="A5" s="44" t="s">
        <v>109</v>
      </c>
      <c r="B5" s="44" t="s">
        <v>110</v>
      </c>
      <c r="C5" s="44" t="s">
        <v>127</v>
      </c>
      <c r="D5" s="44">
        <v>173835</v>
      </c>
      <c r="E5" s="44" t="s">
        <v>128</v>
      </c>
      <c r="F5" s="44" t="s">
        <v>129</v>
      </c>
      <c r="G5" s="44" t="s">
        <v>130</v>
      </c>
      <c r="H5" s="26" t="s">
        <v>120</v>
      </c>
      <c r="I5" s="48">
        <v>44837</v>
      </c>
      <c r="J5" s="48">
        <v>44839</v>
      </c>
      <c r="K5" s="44" t="s">
        <v>131</v>
      </c>
      <c r="L5" s="44">
        <v>3</v>
      </c>
      <c r="M5" s="44">
        <v>29</v>
      </c>
      <c r="N5" s="44"/>
      <c r="O5" s="44" t="s">
        <v>218</v>
      </c>
      <c r="P5" s="39">
        <v>400000</v>
      </c>
      <c r="Q5" s="39">
        <v>180000</v>
      </c>
      <c r="R5" s="39">
        <v>50000</v>
      </c>
      <c r="S5" s="44"/>
      <c r="T5" s="39"/>
      <c r="U5" s="39">
        <v>150000</v>
      </c>
      <c r="V5" s="39">
        <f t="shared" si="0"/>
        <v>450000</v>
      </c>
      <c r="W5" s="44"/>
      <c r="X5" s="38"/>
      <c r="Y5" s="38"/>
      <c r="Z5" s="38"/>
      <c r="AA5" s="38"/>
      <c r="AB5" s="38"/>
    </row>
    <row r="6" spans="1:28" ht="93.75" customHeight="1" x14ac:dyDescent="0.2">
      <c r="A6" s="44" t="s">
        <v>109</v>
      </c>
      <c r="B6" s="44" t="s">
        <v>110</v>
      </c>
      <c r="C6" s="44" t="s">
        <v>132</v>
      </c>
      <c r="D6" s="44">
        <v>174341</v>
      </c>
      <c r="E6" s="44" t="s">
        <v>133</v>
      </c>
      <c r="F6" s="44" t="s">
        <v>134</v>
      </c>
      <c r="G6" s="44" t="s">
        <v>119</v>
      </c>
      <c r="H6" s="44" t="s">
        <v>120</v>
      </c>
      <c r="I6" s="49">
        <v>44837</v>
      </c>
      <c r="J6" s="49">
        <v>44837</v>
      </c>
      <c r="K6" s="44" t="s">
        <v>135</v>
      </c>
      <c r="L6" s="44">
        <v>1</v>
      </c>
      <c r="M6" s="44">
        <v>21</v>
      </c>
      <c r="N6" s="44"/>
      <c r="O6" s="44"/>
      <c r="P6" s="39"/>
      <c r="Q6" s="39"/>
      <c r="R6" s="39"/>
      <c r="S6" s="44"/>
      <c r="T6" s="39">
        <v>1290000</v>
      </c>
      <c r="U6" s="39">
        <v>150000</v>
      </c>
      <c r="V6" s="39">
        <f t="shared" si="0"/>
        <v>150000</v>
      </c>
      <c r="W6" s="44"/>
      <c r="X6" s="38"/>
      <c r="Y6" s="38"/>
      <c r="Z6" s="38"/>
      <c r="AA6" s="38"/>
      <c r="AB6" s="38"/>
    </row>
    <row r="7" spans="1:28" ht="112.5" customHeight="1" x14ac:dyDescent="0.2">
      <c r="A7" s="44" t="s">
        <v>109</v>
      </c>
      <c r="B7" s="44" t="s">
        <v>110</v>
      </c>
      <c r="C7" s="44" t="s">
        <v>136</v>
      </c>
      <c r="D7" s="44">
        <v>173843</v>
      </c>
      <c r="E7" s="44" t="s">
        <v>137</v>
      </c>
      <c r="F7" s="44" t="s">
        <v>138</v>
      </c>
      <c r="G7" s="44" t="s">
        <v>139</v>
      </c>
      <c r="H7" s="44" t="s">
        <v>120</v>
      </c>
      <c r="I7" s="48">
        <v>44839</v>
      </c>
      <c r="J7" s="48">
        <v>44842</v>
      </c>
      <c r="K7" s="44" t="s">
        <v>770</v>
      </c>
      <c r="L7" s="44">
        <v>4</v>
      </c>
      <c r="M7" s="44">
        <v>31</v>
      </c>
      <c r="N7" s="44"/>
      <c r="O7" s="44" t="s">
        <v>140</v>
      </c>
      <c r="P7" s="39">
        <v>150000</v>
      </c>
      <c r="Q7" s="39">
        <v>41000</v>
      </c>
      <c r="R7" s="39">
        <v>45000</v>
      </c>
      <c r="S7" s="44"/>
      <c r="T7" s="39"/>
      <c r="U7" s="39">
        <v>150000</v>
      </c>
      <c r="V7" s="39">
        <f t="shared" si="0"/>
        <v>600000</v>
      </c>
      <c r="W7" s="44"/>
      <c r="X7" s="38"/>
      <c r="Y7" s="38"/>
      <c r="Z7" s="38"/>
      <c r="AA7" s="38"/>
      <c r="AB7" s="38"/>
    </row>
    <row r="8" spans="1:28" ht="108" customHeight="1" x14ac:dyDescent="0.2">
      <c r="A8" s="44" t="s">
        <v>109</v>
      </c>
      <c r="B8" s="44" t="s">
        <v>110</v>
      </c>
      <c r="C8" s="44" t="s">
        <v>141</v>
      </c>
      <c r="D8" s="44">
        <v>174836</v>
      </c>
      <c r="E8" s="44" t="s">
        <v>142</v>
      </c>
      <c r="F8" s="44" t="s">
        <v>143</v>
      </c>
      <c r="G8" s="44" t="s">
        <v>117</v>
      </c>
      <c r="H8" s="26" t="s">
        <v>118</v>
      </c>
      <c r="I8" s="50">
        <v>44848</v>
      </c>
      <c r="J8" s="50">
        <v>44851</v>
      </c>
      <c r="K8" s="44" t="s">
        <v>144</v>
      </c>
      <c r="L8" s="44">
        <v>4</v>
      </c>
      <c r="M8" s="44">
        <v>19</v>
      </c>
      <c r="N8" s="44"/>
      <c r="O8" s="44" t="s">
        <v>557</v>
      </c>
      <c r="P8" s="39">
        <v>600000</v>
      </c>
      <c r="Q8" s="39">
        <v>350000</v>
      </c>
      <c r="R8" s="39">
        <v>75000</v>
      </c>
      <c r="S8" s="44"/>
      <c r="T8" s="39"/>
      <c r="U8" s="39">
        <v>150000</v>
      </c>
      <c r="V8" s="39">
        <f t="shared" si="0"/>
        <v>600000</v>
      </c>
      <c r="W8" s="44"/>
      <c r="X8" s="38"/>
      <c r="Y8" s="38"/>
      <c r="Z8" s="38"/>
      <c r="AA8" s="38"/>
      <c r="AB8" s="38"/>
    </row>
    <row r="9" spans="1:28" ht="105" customHeight="1" x14ac:dyDescent="0.2">
      <c r="A9" s="44" t="s">
        <v>109</v>
      </c>
      <c r="B9" s="44" t="s">
        <v>110</v>
      </c>
      <c r="C9" s="44" t="s">
        <v>771</v>
      </c>
      <c r="D9" s="44" t="s">
        <v>772</v>
      </c>
      <c r="E9" s="44" t="s">
        <v>145</v>
      </c>
      <c r="F9" s="44" t="s">
        <v>773</v>
      </c>
      <c r="G9" s="44" t="s">
        <v>124</v>
      </c>
      <c r="H9" s="44" t="s">
        <v>120</v>
      </c>
      <c r="I9" s="50">
        <v>44855</v>
      </c>
      <c r="J9" s="50">
        <v>44858</v>
      </c>
      <c r="K9" s="44" t="s">
        <v>146</v>
      </c>
      <c r="L9" s="44">
        <v>3</v>
      </c>
      <c r="M9" s="44">
        <f>12+4</f>
        <v>16</v>
      </c>
      <c r="N9" s="44"/>
      <c r="O9" s="44" t="s">
        <v>140</v>
      </c>
      <c r="P9" s="39">
        <v>150000</v>
      </c>
      <c r="Q9" s="39">
        <v>41000</v>
      </c>
      <c r="R9" s="39">
        <v>30000</v>
      </c>
      <c r="S9" s="44"/>
      <c r="T9" s="39"/>
      <c r="U9" s="39">
        <v>150000</v>
      </c>
      <c r="V9" s="39">
        <f t="shared" si="0"/>
        <v>450000</v>
      </c>
      <c r="W9" s="44"/>
      <c r="X9" s="38"/>
      <c r="Y9" s="38"/>
      <c r="Z9" s="38"/>
      <c r="AA9" s="38"/>
      <c r="AB9" s="38"/>
    </row>
    <row r="10" spans="1:28" ht="112.5" customHeight="1" x14ac:dyDescent="0.2">
      <c r="A10" s="44" t="s">
        <v>109</v>
      </c>
      <c r="B10" s="44" t="s">
        <v>110</v>
      </c>
      <c r="C10" s="44" t="s">
        <v>147</v>
      </c>
      <c r="D10" s="44">
        <v>174001</v>
      </c>
      <c r="E10" s="44" t="s">
        <v>148</v>
      </c>
      <c r="F10" s="44" t="s">
        <v>149</v>
      </c>
      <c r="G10" s="44" t="s">
        <v>150</v>
      </c>
      <c r="H10" s="44" t="s">
        <v>120</v>
      </c>
      <c r="I10" s="50">
        <v>44860</v>
      </c>
      <c r="J10" s="50">
        <v>44862</v>
      </c>
      <c r="K10" s="44" t="s">
        <v>151</v>
      </c>
      <c r="L10" s="44">
        <v>2</v>
      </c>
      <c r="M10" s="44">
        <v>24</v>
      </c>
      <c r="N10" s="44"/>
      <c r="O10" s="44"/>
      <c r="P10" s="39"/>
      <c r="Q10" s="39"/>
      <c r="R10" s="39"/>
      <c r="S10" s="44"/>
      <c r="T10" s="39">
        <v>3380000</v>
      </c>
      <c r="U10" s="39">
        <v>150000</v>
      </c>
      <c r="V10" s="39">
        <f t="shared" si="0"/>
        <v>300000</v>
      </c>
      <c r="W10" s="44"/>
      <c r="X10" s="38"/>
      <c r="Y10" s="38"/>
      <c r="Z10" s="38"/>
      <c r="AA10" s="38"/>
      <c r="AB10" s="38"/>
    </row>
    <row r="11" spans="1:28" ht="105.75" customHeight="1" x14ac:dyDescent="0.2">
      <c r="A11" s="44" t="s">
        <v>109</v>
      </c>
      <c r="B11" s="44" t="s">
        <v>110</v>
      </c>
      <c r="C11" s="44" t="s">
        <v>152</v>
      </c>
      <c r="D11" s="44">
        <v>173939</v>
      </c>
      <c r="E11" s="44" t="s">
        <v>153</v>
      </c>
      <c r="F11" s="44" t="s">
        <v>154</v>
      </c>
      <c r="G11" s="44" t="s">
        <v>155</v>
      </c>
      <c r="H11" s="44" t="s">
        <v>118</v>
      </c>
      <c r="I11" s="48">
        <v>44870</v>
      </c>
      <c r="J11" s="48">
        <v>44872</v>
      </c>
      <c r="K11" s="44" t="s">
        <v>156</v>
      </c>
      <c r="L11" s="44">
        <v>3</v>
      </c>
      <c r="M11" s="44">
        <v>35</v>
      </c>
      <c r="N11" s="44"/>
      <c r="O11" s="44"/>
      <c r="P11" s="39"/>
      <c r="Q11" s="39"/>
      <c r="R11" s="39"/>
      <c r="S11" s="44"/>
      <c r="T11" s="39">
        <v>4500000</v>
      </c>
      <c r="U11" s="39">
        <v>150000</v>
      </c>
      <c r="V11" s="39">
        <f t="shared" si="0"/>
        <v>450000</v>
      </c>
      <c r="W11" s="44"/>
      <c r="X11" s="38"/>
      <c r="Y11" s="38"/>
      <c r="Z11" s="38"/>
      <c r="AA11" s="38"/>
      <c r="AB11" s="38"/>
    </row>
    <row r="12" spans="1:28" ht="105.75" customHeight="1" x14ac:dyDescent="0.2">
      <c r="A12" s="44" t="s">
        <v>109</v>
      </c>
      <c r="B12" s="44" t="s">
        <v>110</v>
      </c>
      <c r="C12" s="44" t="s">
        <v>774</v>
      </c>
      <c r="D12" s="44" t="s">
        <v>775</v>
      </c>
      <c r="E12" s="44" t="s">
        <v>157</v>
      </c>
      <c r="F12" s="44" t="s">
        <v>776</v>
      </c>
      <c r="G12" s="44" t="s">
        <v>777</v>
      </c>
      <c r="H12" s="44" t="s">
        <v>120</v>
      </c>
      <c r="I12" s="49">
        <v>44877</v>
      </c>
      <c r="J12" s="49">
        <v>44880</v>
      </c>
      <c r="K12" s="44" t="s">
        <v>778</v>
      </c>
      <c r="L12" s="44">
        <v>3</v>
      </c>
      <c r="M12" s="44">
        <v>60</v>
      </c>
      <c r="N12" s="44"/>
      <c r="O12" s="44"/>
      <c r="P12" s="39"/>
      <c r="Q12" s="39"/>
      <c r="R12" s="39"/>
      <c r="S12" s="44"/>
      <c r="T12" s="39">
        <v>7425000</v>
      </c>
      <c r="U12" s="39">
        <v>150000</v>
      </c>
      <c r="V12" s="39">
        <f t="shared" si="0"/>
        <v>450000</v>
      </c>
      <c r="W12" s="44"/>
      <c r="X12" s="38"/>
      <c r="Y12" s="38"/>
      <c r="Z12" s="38"/>
      <c r="AA12" s="38"/>
      <c r="AB12" s="38"/>
    </row>
    <row r="13" spans="1:28" ht="103.5" customHeight="1" x14ac:dyDescent="0.2">
      <c r="A13" s="44" t="s">
        <v>109</v>
      </c>
      <c r="B13" s="44" t="s">
        <v>110</v>
      </c>
      <c r="C13" s="44" t="s">
        <v>159</v>
      </c>
      <c r="D13" s="44">
        <v>174867</v>
      </c>
      <c r="E13" s="44" t="s">
        <v>160</v>
      </c>
      <c r="F13" s="44" t="s">
        <v>161</v>
      </c>
      <c r="G13" s="44" t="s">
        <v>162</v>
      </c>
      <c r="H13" s="44" t="s">
        <v>115</v>
      </c>
      <c r="I13" s="50">
        <v>44883</v>
      </c>
      <c r="J13" s="50">
        <v>44884</v>
      </c>
      <c r="K13" s="44" t="s">
        <v>163</v>
      </c>
      <c r="L13" s="44">
        <v>2</v>
      </c>
      <c r="M13" s="44">
        <v>12</v>
      </c>
      <c r="N13" s="51"/>
      <c r="O13" s="44" t="s">
        <v>164</v>
      </c>
      <c r="P13" s="39">
        <v>0</v>
      </c>
      <c r="Q13" s="39">
        <v>20000</v>
      </c>
      <c r="R13" s="39">
        <v>10000</v>
      </c>
      <c r="S13" s="44"/>
      <c r="T13" s="39"/>
      <c r="U13" s="39">
        <v>150000</v>
      </c>
      <c r="V13" s="39">
        <f t="shared" si="0"/>
        <v>300000</v>
      </c>
      <c r="W13" s="44"/>
      <c r="X13" s="38"/>
      <c r="Y13" s="38"/>
      <c r="Z13" s="38"/>
      <c r="AA13" s="38"/>
      <c r="AB13" s="38"/>
    </row>
    <row r="14" spans="1:28" ht="93.75" customHeight="1" x14ac:dyDescent="0.2">
      <c r="A14" s="44" t="s">
        <v>109</v>
      </c>
      <c r="B14" s="44" t="s">
        <v>110</v>
      </c>
      <c r="C14" s="44" t="s">
        <v>165</v>
      </c>
      <c r="D14" s="44">
        <v>174862</v>
      </c>
      <c r="E14" s="44" t="s">
        <v>166</v>
      </c>
      <c r="F14" s="44" t="s">
        <v>167</v>
      </c>
      <c r="G14" s="44" t="s">
        <v>168</v>
      </c>
      <c r="H14" s="44" t="s">
        <v>115</v>
      </c>
      <c r="I14" s="52">
        <v>44889</v>
      </c>
      <c r="J14" s="50">
        <v>44892</v>
      </c>
      <c r="K14" s="44" t="s">
        <v>169</v>
      </c>
      <c r="L14" s="44">
        <v>4</v>
      </c>
      <c r="M14" s="44">
        <v>18</v>
      </c>
      <c r="N14" s="44"/>
      <c r="O14" s="44" t="s">
        <v>140</v>
      </c>
      <c r="P14" s="39">
        <v>600000</v>
      </c>
      <c r="Q14" s="39">
        <v>150000</v>
      </c>
      <c r="R14" s="39">
        <v>60000</v>
      </c>
      <c r="S14" s="44">
        <v>0</v>
      </c>
      <c r="T14" s="39">
        <v>0</v>
      </c>
      <c r="U14" s="39">
        <v>150000</v>
      </c>
      <c r="V14" s="39">
        <f t="shared" si="0"/>
        <v>600000</v>
      </c>
      <c r="W14" s="44"/>
      <c r="X14" s="38"/>
      <c r="Y14" s="38"/>
      <c r="Z14" s="38"/>
      <c r="AA14" s="38"/>
      <c r="AB14" s="38"/>
    </row>
    <row r="15" spans="1:28" ht="93.75" customHeight="1" x14ac:dyDescent="0.2">
      <c r="A15" s="44" t="s">
        <v>109</v>
      </c>
      <c r="B15" s="44" t="s">
        <v>110</v>
      </c>
      <c r="C15" s="44" t="s">
        <v>170</v>
      </c>
      <c r="D15" s="44">
        <v>173995</v>
      </c>
      <c r="E15" s="44" t="s">
        <v>171</v>
      </c>
      <c r="F15" s="44" t="s">
        <v>172</v>
      </c>
      <c r="G15" s="44" t="s">
        <v>130</v>
      </c>
      <c r="H15" s="44" t="s">
        <v>120</v>
      </c>
      <c r="I15" s="50">
        <v>44890</v>
      </c>
      <c r="J15" s="50">
        <v>44892</v>
      </c>
      <c r="K15" s="44" t="s">
        <v>173</v>
      </c>
      <c r="L15" s="44">
        <v>3</v>
      </c>
      <c r="M15" s="44">
        <v>26</v>
      </c>
      <c r="N15" s="44"/>
      <c r="O15" s="44" t="s">
        <v>140</v>
      </c>
      <c r="P15" s="39">
        <v>150000</v>
      </c>
      <c r="Q15" s="39">
        <v>41000</v>
      </c>
      <c r="R15" s="39">
        <v>20000</v>
      </c>
      <c r="S15" s="44"/>
      <c r="T15" s="39"/>
      <c r="U15" s="39">
        <v>150000</v>
      </c>
      <c r="V15" s="39">
        <f t="shared" si="0"/>
        <v>450000</v>
      </c>
      <c r="W15" s="44"/>
      <c r="X15" s="38"/>
      <c r="Y15" s="38"/>
      <c r="Z15" s="38"/>
      <c r="AA15" s="38"/>
      <c r="AB15" s="38"/>
    </row>
    <row r="16" spans="1:28" ht="93.75" customHeight="1" x14ac:dyDescent="0.2">
      <c r="A16" s="44" t="s">
        <v>109</v>
      </c>
      <c r="B16" s="44" t="s">
        <v>110</v>
      </c>
      <c r="C16" s="44" t="s">
        <v>174</v>
      </c>
      <c r="D16" s="44" t="s">
        <v>779</v>
      </c>
      <c r="E16" s="44" t="s">
        <v>177</v>
      </c>
      <c r="F16" s="44" t="s">
        <v>780</v>
      </c>
      <c r="G16" s="44" t="s">
        <v>781</v>
      </c>
      <c r="H16" s="44" t="s">
        <v>120</v>
      </c>
      <c r="I16" s="47">
        <v>44889</v>
      </c>
      <c r="J16" s="48">
        <v>44891</v>
      </c>
      <c r="K16" s="44" t="s">
        <v>176</v>
      </c>
      <c r="L16" s="44">
        <v>3</v>
      </c>
      <c r="M16" s="44">
        <v>9</v>
      </c>
      <c r="N16" s="44"/>
      <c r="O16" s="44" t="s">
        <v>140</v>
      </c>
      <c r="P16" s="39">
        <v>150000</v>
      </c>
      <c r="Q16" s="39">
        <v>32000</v>
      </c>
      <c r="R16" s="39">
        <v>20000</v>
      </c>
      <c r="S16" s="44"/>
      <c r="T16" s="39"/>
      <c r="U16" s="39">
        <v>150000</v>
      </c>
      <c r="V16" s="39">
        <f t="shared" si="0"/>
        <v>450000</v>
      </c>
      <c r="W16" s="44"/>
      <c r="X16" s="38"/>
      <c r="Y16" s="38"/>
      <c r="Z16" s="38"/>
      <c r="AA16" s="38"/>
      <c r="AB16" s="38"/>
    </row>
    <row r="17" spans="1:28" ht="93.75" customHeight="1" x14ac:dyDescent="0.2">
      <c r="A17" s="44" t="s">
        <v>109</v>
      </c>
      <c r="B17" s="44" t="s">
        <v>110</v>
      </c>
      <c r="C17" s="44" t="s">
        <v>178</v>
      </c>
      <c r="D17" s="44">
        <v>174868</v>
      </c>
      <c r="E17" s="44" t="s">
        <v>179</v>
      </c>
      <c r="F17" s="44" t="s">
        <v>180</v>
      </c>
      <c r="G17" s="44" t="s">
        <v>175</v>
      </c>
      <c r="H17" s="44" t="s">
        <v>120</v>
      </c>
      <c r="I17" s="47">
        <v>44897</v>
      </c>
      <c r="J17" s="47">
        <v>44901</v>
      </c>
      <c r="K17" s="44" t="s">
        <v>181</v>
      </c>
      <c r="L17" s="44">
        <v>3</v>
      </c>
      <c r="M17" s="44">
        <v>16</v>
      </c>
      <c r="N17" s="44"/>
      <c r="O17" s="44"/>
      <c r="P17" s="39"/>
      <c r="Q17" s="39"/>
      <c r="R17" s="39"/>
      <c r="S17" s="44"/>
      <c r="T17" s="39">
        <v>3540000</v>
      </c>
      <c r="U17" s="39">
        <v>150000</v>
      </c>
      <c r="V17" s="39">
        <f t="shared" si="0"/>
        <v>450000</v>
      </c>
      <c r="W17" s="44"/>
      <c r="X17" s="38"/>
      <c r="Y17" s="38"/>
      <c r="Z17" s="38"/>
      <c r="AA17" s="38"/>
      <c r="AB17" s="38"/>
    </row>
    <row r="18" spans="1:28" ht="93.75" customHeight="1" x14ac:dyDescent="0.2">
      <c r="A18" s="44" t="s">
        <v>11</v>
      </c>
      <c r="B18" s="44" t="s">
        <v>195</v>
      </c>
      <c r="C18" s="44" t="s">
        <v>196</v>
      </c>
      <c r="D18" s="44">
        <v>172186</v>
      </c>
      <c r="E18" s="44" t="s">
        <v>197</v>
      </c>
      <c r="F18" s="44" t="s">
        <v>198</v>
      </c>
      <c r="G18" s="44" t="s">
        <v>199</v>
      </c>
      <c r="H18" s="44" t="s">
        <v>200</v>
      </c>
      <c r="I18" s="48">
        <v>44885</v>
      </c>
      <c r="J18" s="48">
        <v>44885</v>
      </c>
      <c r="K18" s="44" t="s">
        <v>201</v>
      </c>
      <c r="L18" s="44">
        <v>1</v>
      </c>
      <c r="M18" s="44">
        <v>7</v>
      </c>
      <c r="N18" s="44"/>
      <c r="O18" s="44" t="s">
        <v>121</v>
      </c>
      <c r="P18" s="39">
        <v>0</v>
      </c>
      <c r="Q18" s="39">
        <v>0</v>
      </c>
      <c r="R18" s="39">
        <v>0</v>
      </c>
      <c r="S18" s="44"/>
      <c r="T18" s="39"/>
      <c r="U18" s="39">
        <v>150000</v>
      </c>
      <c r="V18" s="39">
        <f t="shared" si="0"/>
        <v>150000</v>
      </c>
      <c r="W18" s="44"/>
      <c r="X18" s="38"/>
      <c r="Y18" s="38"/>
      <c r="Z18" s="38"/>
      <c r="AA18" s="38"/>
      <c r="AB18" s="38"/>
    </row>
    <row r="19" spans="1:28" ht="93.75" customHeight="1" x14ac:dyDescent="0.2">
      <c r="A19" s="44" t="s">
        <v>11</v>
      </c>
      <c r="B19" s="44" t="s">
        <v>195</v>
      </c>
      <c r="C19" s="44" t="s">
        <v>202</v>
      </c>
      <c r="D19" s="44" t="s">
        <v>203</v>
      </c>
      <c r="E19" s="44" t="s">
        <v>204</v>
      </c>
      <c r="F19" s="44" t="s">
        <v>205</v>
      </c>
      <c r="G19" s="44" t="s">
        <v>782</v>
      </c>
      <c r="H19" s="44" t="s">
        <v>120</v>
      </c>
      <c r="I19" s="46">
        <v>44874</v>
      </c>
      <c r="J19" s="46">
        <v>44876</v>
      </c>
      <c r="K19" s="44" t="s">
        <v>206</v>
      </c>
      <c r="L19" s="44">
        <v>3</v>
      </c>
      <c r="M19" s="44">
        <f>17+19</f>
        <v>36</v>
      </c>
      <c r="N19" s="44"/>
      <c r="O19" s="44"/>
      <c r="P19" s="39"/>
      <c r="Q19" s="39"/>
      <c r="R19" s="39"/>
      <c r="S19" s="44"/>
      <c r="T19" s="39">
        <v>680000</v>
      </c>
      <c r="U19" s="39">
        <v>30000</v>
      </c>
      <c r="V19" s="39">
        <f t="shared" si="0"/>
        <v>90000</v>
      </c>
      <c r="W19" s="44"/>
      <c r="X19" s="38"/>
      <c r="Y19" s="38"/>
      <c r="Z19" s="38"/>
      <c r="AA19" s="38"/>
      <c r="AB19" s="38"/>
    </row>
    <row r="20" spans="1:28" ht="93.75" customHeight="1" x14ac:dyDescent="0.2">
      <c r="A20" s="44" t="s">
        <v>11</v>
      </c>
      <c r="B20" s="44" t="s">
        <v>195</v>
      </c>
      <c r="C20" s="44" t="s">
        <v>783</v>
      </c>
      <c r="D20" s="44" t="s">
        <v>207</v>
      </c>
      <c r="E20" s="44" t="s">
        <v>208</v>
      </c>
      <c r="F20" s="44" t="s">
        <v>209</v>
      </c>
      <c r="G20" s="44" t="s">
        <v>782</v>
      </c>
      <c r="H20" s="44" t="s">
        <v>120</v>
      </c>
      <c r="I20" s="48">
        <v>44887</v>
      </c>
      <c r="J20" s="47">
        <v>44890</v>
      </c>
      <c r="K20" s="44" t="s">
        <v>210</v>
      </c>
      <c r="L20" s="44">
        <v>4</v>
      </c>
      <c r="M20" s="44">
        <f>23+27</f>
        <v>50</v>
      </c>
      <c r="N20" s="44"/>
      <c r="O20" s="44" t="s">
        <v>121</v>
      </c>
      <c r="P20" s="39">
        <v>400000</v>
      </c>
      <c r="Q20" s="39">
        <v>180000</v>
      </c>
      <c r="R20" s="39">
        <v>60000</v>
      </c>
      <c r="S20" s="44"/>
      <c r="T20" s="39"/>
      <c r="U20" s="39">
        <v>150000</v>
      </c>
      <c r="V20" s="39">
        <f t="shared" si="0"/>
        <v>600000</v>
      </c>
      <c r="W20" s="44"/>
      <c r="X20" s="38"/>
      <c r="Y20" s="38"/>
      <c r="Z20" s="38"/>
      <c r="AA20" s="38"/>
      <c r="AB20" s="38"/>
    </row>
    <row r="21" spans="1:28" ht="93.75" customHeight="1" x14ac:dyDescent="0.2">
      <c r="A21" s="44" t="s">
        <v>11</v>
      </c>
      <c r="B21" s="44" t="s">
        <v>212</v>
      </c>
      <c r="C21" s="44" t="s">
        <v>213</v>
      </c>
      <c r="D21" s="44">
        <v>172808</v>
      </c>
      <c r="E21" s="44" t="s">
        <v>214</v>
      </c>
      <c r="F21" s="44" t="s">
        <v>215</v>
      </c>
      <c r="G21" s="44" t="s">
        <v>216</v>
      </c>
      <c r="H21" s="44" t="s">
        <v>200</v>
      </c>
      <c r="I21" s="46">
        <v>44825</v>
      </c>
      <c r="J21" s="46">
        <v>44828</v>
      </c>
      <c r="K21" s="44" t="s">
        <v>217</v>
      </c>
      <c r="L21" s="44">
        <v>4</v>
      </c>
      <c r="M21" s="44">
        <v>18</v>
      </c>
      <c r="N21" s="44"/>
      <c r="O21" s="44" t="s">
        <v>218</v>
      </c>
      <c r="P21" s="39">
        <v>400000</v>
      </c>
      <c r="Q21" s="39">
        <v>180000</v>
      </c>
      <c r="R21" s="39">
        <v>60000</v>
      </c>
      <c r="S21" s="44"/>
      <c r="T21" s="39"/>
      <c r="U21" s="39">
        <v>150000</v>
      </c>
      <c r="V21" s="39">
        <f t="shared" si="0"/>
        <v>600000</v>
      </c>
      <c r="W21" s="44"/>
      <c r="X21" s="38"/>
      <c r="Y21" s="38"/>
      <c r="Z21" s="38"/>
      <c r="AA21" s="38"/>
      <c r="AB21" s="38"/>
    </row>
    <row r="22" spans="1:28" ht="93.75" customHeight="1" x14ac:dyDescent="0.2">
      <c r="A22" s="44" t="s">
        <v>11</v>
      </c>
      <c r="B22" s="44" t="s">
        <v>212</v>
      </c>
      <c r="C22" s="44" t="s">
        <v>219</v>
      </c>
      <c r="D22" s="44">
        <v>172790</v>
      </c>
      <c r="E22" s="44" t="s">
        <v>220</v>
      </c>
      <c r="F22" s="44" t="s">
        <v>221</v>
      </c>
      <c r="G22" s="44" t="s">
        <v>216</v>
      </c>
      <c r="H22" s="44" t="s">
        <v>200</v>
      </c>
      <c r="I22" s="48">
        <v>44872</v>
      </c>
      <c r="J22" s="48">
        <v>44874</v>
      </c>
      <c r="K22" s="44" t="s">
        <v>222</v>
      </c>
      <c r="L22" s="44">
        <v>3</v>
      </c>
      <c r="M22" s="44">
        <v>29</v>
      </c>
      <c r="N22" s="44"/>
      <c r="O22" s="44" t="s">
        <v>140</v>
      </c>
      <c r="P22" s="39">
        <v>500000</v>
      </c>
      <c r="Q22" s="39">
        <v>270000</v>
      </c>
      <c r="R22" s="39">
        <v>50000</v>
      </c>
      <c r="S22" s="44"/>
      <c r="T22" s="39"/>
      <c r="U22" s="39">
        <v>150000</v>
      </c>
      <c r="V22" s="39">
        <f t="shared" si="0"/>
        <v>450000</v>
      </c>
      <c r="W22" s="44"/>
      <c r="X22" s="38"/>
      <c r="Y22" s="38"/>
      <c r="Z22" s="38"/>
      <c r="AA22" s="38"/>
      <c r="AB22" s="38"/>
    </row>
    <row r="23" spans="1:28" ht="93.75" customHeight="1" x14ac:dyDescent="0.2">
      <c r="A23" s="44" t="s">
        <v>11</v>
      </c>
      <c r="B23" s="44" t="s">
        <v>212</v>
      </c>
      <c r="C23" s="44" t="s">
        <v>223</v>
      </c>
      <c r="D23" s="44" t="s">
        <v>224</v>
      </c>
      <c r="E23" s="44" t="s">
        <v>225</v>
      </c>
      <c r="F23" s="26" t="s">
        <v>226</v>
      </c>
      <c r="G23" s="44" t="s">
        <v>227</v>
      </c>
      <c r="H23" s="44" t="s">
        <v>115</v>
      </c>
      <c r="I23" s="46">
        <v>44876</v>
      </c>
      <c r="J23" s="46">
        <v>44878</v>
      </c>
      <c r="K23" s="44" t="s">
        <v>228</v>
      </c>
      <c r="L23" s="44">
        <v>3</v>
      </c>
      <c r="M23" s="44">
        <f>21+20</f>
        <v>41</v>
      </c>
      <c r="N23" s="44"/>
      <c r="O23" s="44"/>
      <c r="P23" s="39"/>
      <c r="Q23" s="39"/>
      <c r="R23" s="39"/>
      <c r="S23" s="44"/>
      <c r="T23" s="39">
        <v>1040000</v>
      </c>
      <c r="U23" s="39">
        <v>30000</v>
      </c>
      <c r="V23" s="39">
        <f t="shared" si="0"/>
        <v>90000</v>
      </c>
      <c r="W23" s="44"/>
      <c r="X23" s="38"/>
      <c r="Y23" s="38"/>
      <c r="Z23" s="38"/>
      <c r="AA23" s="38"/>
      <c r="AB23" s="38"/>
    </row>
    <row r="24" spans="1:28" ht="93.75" customHeight="1" x14ac:dyDescent="0.2">
      <c r="A24" s="44" t="s">
        <v>29</v>
      </c>
      <c r="B24" s="44" t="s">
        <v>212</v>
      </c>
      <c r="C24" s="44" t="s">
        <v>229</v>
      </c>
      <c r="D24" s="44">
        <v>172839</v>
      </c>
      <c r="E24" s="44" t="s">
        <v>214</v>
      </c>
      <c r="F24" s="44" t="s">
        <v>230</v>
      </c>
      <c r="G24" s="44" t="s">
        <v>231</v>
      </c>
      <c r="H24" s="44" t="s">
        <v>118</v>
      </c>
      <c r="I24" s="48">
        <v>44872</v>
      </c>
      <c r="J24" s="46">
        <v>44875</v>
      </c>
      <c r="K24" s="44" t="s">
        <v>232</v>
      </c>
      <c r="L24" s="44">
        <v>4</v>
      </c>
      <c r="M24" s="44">
        <v>17</v>
      </c>
      <c r="N24" s="44"/>
      <c r="O24" s="44" t="s">
        <v>233</v>
      </c>
      <c r="P24" s="39">
        <v>500000</v>
      </c>
      <c r="Q24" s="39">
        <v>500000</v>
      </c>
      <c r="R24" s="39">
        <v>75000</v>
      </c>
      <c r="S24" s="44"/>
      <c r="T24" s="39"/>
      <c r="U24" s="39">
        <v>150000</v>
      </c>
      <c r="V24" s="39">
        <f t="shared" si="0"/>
        <v>600000</v>
      </c>
      <c r="W24" s="44"/>
      <c r="X24" s="38"/>
      <c r="Y24" s="38"/>
      <c r="Z24" s="38"/>
      <c r="AA24" s="38"/>
      <c r="AB24" s="38"/>
    </row>
    <row r="25" spans="1:28" ht="93.75" customHeight="1" x14ac:dyDescent="0.2">
      <c r="A25" s="44" t="s">
        <v>234</v>
      </c>
      <c r="B25" s="44" t="s">
        <v>212</v>
      </c>
      <c r="C25" s="44" t="s">
        <v>235</v>
      </c>
      <c r="D25" s="44" t="s">
        <v>236</v>
      </c>
      <c r="E25" s="44" t="s">
        <v>237</v>
      </c>
      <c r="F25" s="44" t="s">
        <v>238</v>
      </c>
      <c r="G25" s="44" t="s">
        <v>239</v>
      </c>
      <c r="H25" s="44" t="s">
        <v>118</v>
      </c>
      <c r="I25" s="46">
        <v>44822</v>
      </c>
      <c r="J25" s="46">
        <v>44825</v>
      </c>
      <c r="K25" s="44" t="s">
        <v>240</v>
      </c>
      <c r="L25" s="44">
        <v>4</v>
      </c>
      <c r="M25" s="44">
        <f>18+11</f>
        <v>29</v>
      </c>
      <c r="N25" s="44"/>
      <c r="O25" s="44" t="s">
        <v>241</v>
      </c>
      <c r="P25" s="39">
        <v>500000</v>
      </c>
      <c r="Q25" s="39">
        <v>150000</v>
      </c>
      <c r="R25" s="39">
        <v>60000</v>
      </c>
      <c r="S25" s="44"/>
      <c r="T25" s="39"/>
      <c r="U25" s="39">
        <v>150000</v>
      </c>
      <c r="V25" s="39">
        <f t="shared" si="0"/>
        <v>600000</v>
      </c>
      <c r="W25" s="44"/>
      <c r="X25" s="38"/>
      <c r="Y25" s="38"/>
      <c r="Z25" s="38"/>
      <c r="AA25" s="38"/>
      <c r="AB25" s="38"/>
    </row>
    <row r="26" spans="1:28" ht="93.75" customHeight="1" x14ac:dyDescent="0.2">
      <c r="A26" s="44" t="s">
        <v>248</v>
      </c>
      <c r="B26" s="44" t="s">
        <v>35</v>
      </c>
      <c r="C26" s="44" t="s">
        <v>249</v>
      </c>
      <c r="D26" s="44">
        <v>174798</v>
      </c>
      <c r="E26" s="44" t="s">
        <v>250</v>
      </c>
      <c r="F26" s="44" t="s">
        <v>251</v>
      </c>
      <c r="G26" s="44" t="s">
        <v>252</v>
      </c>
      <c r="H26" s="44" t="s">
        <v>120</v>
      </c>
      <c r="I26" s="46">
        <v>44847</v>
      </c>
      <c r="J26" s="46">
        <v>44848</v>
      </c>
      <c r="K26" s="44" t="s">
        <v>253</v>
      </c>
      <c r="L26" s="44">
        <v>2</v>
      </c>
      <c r="M26" s="44">
        <v>15</v>
      </c>
      <c r="N26" s="44" t="s">
        <v>254</v>
      </c>
      <c r="O26" s="44"/>
      <c r="P26" s="39"/>
      <c r="Q26" s="39"/>
      <c r="R26" s="39"/>
      <c r="S26" s="44"/>
      <c r="T26" s="39">
        <v>1020000</v>
      </c>
      <c r="U26" s="44"/>
      <c r="V26" s="44"/>
      <c r="W26" s="44"/>
      <c r="X26" s="38"/>
      <c r="Y26" s="38"/>
      <c r="Z26" s="38"/>
      <c r="AA26" s="38"/>
      <c r="AB26" s="38"/>
    </row>
    <row r="27" spans="1:28" ht="99" customHeight="1" x14ac:dyDescent="0.2">
      <c r="A27" s="44" t="s">
        <v>248</v>
      </c>
      <c r="B27" s="44" t="s">
        <v>35</v>
      </c>
      <c r="C27" s="44" t="s">
        <v>255</v>
      </c>
      <c r="D27" s="44">
        <v>174641</v>
      </c>
      <c r="E27" s="44" t="s">
        <v>256</v>
      </c>
      <c r="F27" s="44" t="s">
        <v>257</v>
      </c>
      <c r="G27" s="44" t="s">
        <v>258</v>
      </c>
      <c r="H27" s="44" t="s">
        <v>200</v>
      </c>
      <c r="I27" s="46">
        <v>44867</v>
      </c>
      <c r="J27" s="46">
        <v>44869</v>
      </c>
      <c r="K27" s="44" t="s">
        <v>259</v>
      </c>
      <c r="L27" s="44">
        <v>3</v>
      </c>
      <c r="M27" s="44">
        <v>8</v>
      </c>
      <c r="N27" s="44" t="s">
        <v>254</v>
      </c>
      <c r="O27" s="44"/>
      <c r="P27" s="39"/>
      <c r="Q27" s="39"/>
      <c r="R27" s="39"/>
      <c r="S27" s="44"/>
      <c r="T27" s="39">
        <v>8400000</v>
      </c>
      <c r="U27" s="39">
        <v>150000</v>
      </c>
      <c r="V27" s="39">
        <f t="shared" ref="V27:V76" si="1">L27*U27</f>
        <v>450000</v>
      </c>
      <c r="W27" s="44"/>
      <c r="X27" s="38"/>
      <c r="Y27" s="38"/>
      <c r="Z27" s="38"/>
      <c r="AA27" s="38"/>
      <c r="AB27" s="38"/>
    </row>
    <row r="28" spans="1:28" ht="93.75" customHeight="1" x14ac:dyDescent="0.2">
      <c r="A28" s="44" t="s">
        <v>248</v>
      </c>
      <c r="B28" s="44" t="s">
        <v>35</v>
      </c>
      <c r="C28" s="44" t="s">
        <v>260</v>
      </c>
      <c r="D28" s="44">
        <v>174645</v>
      </c>
      <c r="E28" s="44" t="s">
        <v>261</v>
      </c>
      <c r="F28" s="44" t="s">
        <v>262</v>
      </c>
      <c r="G28" s="44" t="s">
        <v>263</v>
      </c>
      <c r="H28" s="44" t="s">
        <v>120</v>
      </c>
      <c r="I28" s="46">
        <v>44869</v>
      </c>
      <c r="J28" s="46">
        <v>44870</v>
      </c>
      <c r="K28" s="44" t="s">
        <v>264</v>
      </c>
      <c r="L28" s="44">
        <v>2</v>
      </c>
      <c r="M28" s="44">
        <v>17</v>
      </c>
      <c r="N28" s="44" t="s">
        <v>254</v>
      </c>
      <c r="O28" s="44"/>
      <c r="P28" s="39"/>
      <c r="Q28" s="39"/>
      <c r="R28" s="39"/>
      <c r="S28" s="44"/>
      <c r="T28" s="39">
        <v>3120000</v>
      </c>
      <c r="U28" s="39">
        <v>150000</v>
      </c>
      <c r="V28" s="39">
        <f t="shared" si="1"/>
        <v>300000</v>
      </c>
      <c r="W28" s="44"/>
      <c r="X28" s="38"/>
      <c r="Y28" s="38"/>
      <c r="Z28" s="38"/>
      <c r="AA28" s="38"/>
      <c r="AB28" s="38"/>
    </row>
    <row r="29" spans="1:28" ht="93.75" customHeight="1" x14ac:dyDescent="0.2">
      <c r="A29" s="44" t="s">
        <v>248</v>
      </c>
      <c r="B29" s="44" t="s">
        <v>35</v>
      </c>
      <c r="C29" s="44" t="s">
        <v>265</v>
      </c>
      <c r="D29" s="44">
        <v>174600</v>
      </c>
      <c r="E29" s="44" t="s">
        <v>266</v>
      </c>
      <c r="F29" s="44" t="s">
        <v>267</v>
      </c>
      <c r="G29" s="44" t="s">
        <v>268</v>
      </c>
      <c r="H29" s="44" t="s">
        <v>120</v>
      </c>
      <c r="I29" s="46">
        <v>44872</v>
      </c>
      <c r="J29" s="46">
        <v>44872</v>
      </c>
      <c r="K29" s="44" t="s">
        <v>269</v>
      </c>
      <c r="L29" s="44">
        <v>2</v>
      </c>
      <c r="M29" s="44">
        <v>23</v>
      </c>
      <c r="N29" s="44"/>
      <c r="O29" s="44" t="s">
        <v>121</v>
      </c>
      <c r="P29" s="39">
        <v>150000</v>
      </c>
      <c r="Q29" s="39">
        <v>40000</v>
      </c>
      <c r="R29" s="39">
        <v>0</v>
      </c>
      <c r="S29" s="44"/>
      <c r="T29" s="39"/>
      <c r="U29" s="39">
        <v>150000</v>
      </c>
      <c r="V29" s="39">
        <f t="shared" si="1"/>
        <v>300000</v>
      </c>
      <c r="W29" s="44"/>
      <c r="X29" s="38"/>
      <c r="Y29" s="38"/>
      <c r="Z29" s="38"/>
      <c r="AA29" s="38"/>
      <c r="AB29" s="38"/>
    </row>
    <row r="30" spans="1:28" ht="93.75" customHeight="1" x14ac:dyDescent="0.2">
      <c r="A30" s="44" t="s">
        <v>248</v>
      </c>
      <c r="B30" s="44" t="s">
        <v>35</v>
      </c>
      <c r="C30" s="44" t="s">
        <v>270</v>
      </c>
      <c r="D30" s="44">
        <v>174627</v>
      </c>
      <c r="E30" s="44" t="s">
        <v>271</v>
      </c>
      <c r="F30" s="44" t="s">
        <v>272</v>
      </c>
      <c r="G30" s="44" t="s">
        <v>273</v>
      </c>
      <c r="H30" s="44" t="s">
        <v>120</v>
      </c>
      <c r="I30" s="48">
        <v>44873</v>
      </c>
      <c r="J30" s="48">
        <v>44873</v>
      </c>
      <c r="K30" s="44" t="s">
        <v>274</v>
      </c>
      <c r="L30" s="44">
        <v>1</v>
      </c>
      <c r="M30" s="44">
        <v>9</v>
      </c>
      <c r="N30" s="44"/>
      <c r="O30" s="44" t="s">
        <v>121</v>
      </c>
      <c r="P30" s="39">
        <v>150000</v>
      </c>
      <c r="Q30" s="39">
        <v>41000</v>
      </c>
      <c r="R30" s="39">
        <v>0</v>
      </c>
      <c r="S30" s="44"/>
      <c r="T30" s="39"/>
      <c r="U30" s="39">
        <v>150000</v>
      </c>
      <c r="V30" s="39">
        <f t="shared" si="1"/>
        <v>150000</v>
      </c>
      <c r="W30" s="44"/>
      <c r="X30" s="38"/>
      <c r="Y30" s="38"/>
      <c r="Z30" s="38"/>
      <c r="AA30" s="38"/>
      <c r="AB30" s="38"/>
    </row>
    <row r="31" spans="1:28" ht="93.75" customHeight="1" x14ac:dyDescent="0.2">
      <c r="A31" s="44" t="s">
        <v>248</v>
      </c>
      <c r="B31" s="44" t="s">
        <v>35</v>
      </c>
      <c r="C31" s="44" t="s">
        <v>275</v>
      </c>
      <c r="D31" s="44">
        <v>174601</v>
      </c>
      <c r="E31" s="44" t="s">
        <v>276</v>
      </c>
      <c r="F31" s="44" t="s">
        <v>277</v>
      </c>
      <c r="G31" s="44" t="s">
        <v>278</v>
      </c>
      <c r="H31" s="44" t="s">
        <v>200</v>
      </c>
      <c r="I31" s="46">
        <v>44874</v>
      </c>
      <c r="J31" s="46">
        <v>44877</v>
      </c>
      <c r="K31" s="44" t="s">
        <v>279</v>
      </c>
      <c r="L31" s="44">
        <v>2</v>
      </c>
      <c r="M31" s="44">
        <v>7</v>
      </c>
      <c r="N31" s="44" t="s">
        <v>280</v>
      </c>
      <c r="O31" s="44"/>
      <c r="P31" s="39"/>
      <c r="Q31" s="39"/>
      <c r="R31" s="39"/>
      <c r="S31" s="44"/>
      <c r="T31" s="39">
        <v>6620000</v>
      </c>
      <c r="U31" s="39">
        <v>150000</v>
      </c>
      <c r="V31" s="39">
        <f t="shared" si="1"/>
        <v>300000</v>
      </c>
      <c r="W31" s="44"/>
      <c r="X31" s="38"/>
      <c r="Y31" s="38"/>
      <c r="Z31" s="38"/>
      <c r="AA31" s="38"/>
      <c r="AB31" s="38"/>
    </row>
    <row r="32" spans="1:28" ht="93.75" customHeight="1" x14ac:dyDescent="0.2">
      <c r="A32" s="44" t="s">
        <v>248</v>
      </c>
      <c r="B32" s="44" t="s">
        <v>35</v>
      </c>
      <c r="C32" s="44" t="s">
        <v>281</v>
      </c>
      <c r="D32" s="44">
        <v>174447</v>
      </c>
      <c r="E32" s="44" t="s">
        <v>282</v>
      </c>
      <c r="F32" s="44" t="s">
        <v>283</v>
      </c>
      <c r="G32" s="44" t="s">
        <v>268</v>
      </c>
      <c r="H32" s="44" t="s">
        <v>120</v>
      </c>
      <c r="I32" s="46">
        <v>44876</v>
      </c>
      <c r="J32" s="46">
        <v>44876</v>
      </c>
      <c r="K32" s="44" t="s">
        <v>284</v>
      </c>
      <c r="L32" s="44">
        <v>1</v>
      </c>
      <c r="M32" s="44">
        <v>10</v>
      </c>
      <c r="N32" s="44"/>
      <c r="O32" s="44"/>
      <c r="P32" s="39"/>
      <c r="Q32" s="39"/>
      <c r="R32" s="39"/>
      <c r="S32" s="44"/>
      <c r="T32" s="39">
        <v>1200000</v>
      </c>
      <c r="U32" s="39">
        <v>150000</v>
      </c>
      <c r="V32" s="39">
        <f t="shared" si="1"/>
        <v>150000</v>
      </c>
      <c r="W32" s="44"/>
      <c r="X32" s="38"/>
      <c r="Y32" s="38"/>
      <c r="Z32" s="38"/>
      <c r="AA32" s="38"/>
      <c r="AB32" s="38"/>
    </row>
    <row r="33" spans="1:28" ht="93.75" customHeight="1" x14ac:dyDescent="0.2">
      <c r="A33" s="44" t="s">
        <v>248</v>
      </c>
      <c r="B33" s="44" t="s">
        <v>35</v>
      </c>
      <c r="C33" s="44" t="s">
        <v>285</v>
      </c>
      <c r="D33" s="44">
        <v>174619</v>
      </c>
      <c r="E33" s="44" t="s">
        <v>286</v>
      </c>
      <c r="F33" s="44" t="s">
        <v>287</v>
      </c>
      <c r="G33" s="44" t="s">
        <v>288</v>
      </c>
      <c r="H33" s="44" t="s">
        <v>120</v>
      </c>
      <c r="I33" s="46">
        <v>44876</v>
      </c>
      <c r="J33" s="46">
        <v>44876</v>
      </c>
      <c r="K33" s="44" t="s">
        <v>289</v>
      </c>
      <c r="L33" s="44">
        <v>1</v>
      </c>
      <c r="M33" s="44">
        <v>9</v>
      </c>
      <c r="N33" s="53"/>
      <c r="O33" s="44"/>
      <c r="P33" s="39"/>
      <c r="Q33" s="39"/>
      <c r="R33" s="39"/>
      <c r="S33" s="44"/>
      <c r="T33" s="39">
        <v>1560000</v>
      </c>
      <c r="U33" s="39">
        <v>150000</v>
      </c>
      <c r="V33" s="39">
        <f t="shared" si="1"/>
        <v>150000</v>
      </c>
      <c r="W33" s="44"/>
      <c r="X33" s="38"/>
      <c r="Y33" s="38"/>
      <c r="Z33" s="38"/>
      <c r="AA33" s="38"/>
      <c r="AB33" s="38"/>
    </row>
    <row r="34" spans="1:28" ht="150.75" customHeight="1" x14ac:dyDescent="0.2">
      <c r="A34" s="44" t="s">
        <v>248</v>
      </c>
      <c r="B34" s="44" t="s">
        <v>35</v>
      </c>
      <c r="C34" s="44" t="s">
        <v>290</v>
      </c>
      <c r="D34" s="44">
        <v>174602</v>
      </c>
      <c r="E34" s="44" t="s">
        <v>291</v>
      </c>
      <c r="F34" s="44" t="s">
        <v>292</v>
      </c>
      <c r="G34" s="44" t="s">
        <v>263</v>
      </c>
      <c r="H34" s="44" t="s">
        <v>120</v>
      </c>
      <c r="I34" s="46">
        <v>44876</v>
      </c>
      <c r="J34" s="46">
        <v>44877</v>
      </c>
      <c r="K34" s="44" t="s">
        <v>293</v>
      </c>
      <c r="L34" s="44">
        <v>2</v>
      </c>
      <c r="M34" s="44">
        <v>12</v>
      </c>
      <c r="N34" s="44" t="s">
        <v>254</v>
      </c>
      <c r="O34" s="44"/>
      <c r="P34" s="39"/>
      <c r="Q34" s="39"/>
      <c r="R34" s="39"/>
      <c r="S34" s="44"/>
      <c r="T34" s="39">
        <v>1190000</v>
      </c>
      <c r="U34" s="39">
        <v>150000</v>
      </c>
      <c r="V34" s="39">
        <f t="shared" si="1"/>
        <v>300000</v>
      </c>
      <c r="W34" s="44"/>
      <c r="X34" s="38"/>
      <c r="Y34" s="38"/>
      <c r="Z34" s="38"/>
      <c r="AA34" s="38"/>
      <c r="AB34" s="38"/>
    </row>
    <row r="35" spans="1:28" ht="93.75" customHeight="1" x14ac:dyDescent="0.2">
      <c r="A35" s="44" t="s">
        <v>248</v>
      </c>
      <c r="B35" s="44" t="s">
        <v>35</v>
      </c>
      <c r="C35" s="44" t="s">
        <v>294</v>
      </c>
      <c r="D35" s="44">
        <v>174323</v>
      </c>
      <c r="E35" s="44" t="s">
        <v>295</v>
      </c>
      <c r="F35" s="44" t="s">
        <v>296</v>
      </c>
      <c r="G35" s="44" t="s">
        <v>273</v>
      </c>
      <c r="H35" s="44" t="s">
        <v>120</v>
      </c>
      <c r="I35" s="48">
        <v>44876</v>
      </c>
      <c r="J35" s="48">
        <v>44876</v>
      </c>
      <c r="K35" s="44" t="s">
        <v>297</v>
      </c>
      <c r="L35" s="44">
        <v>1</v>
      </c>
      <c r="M35" s="44">
        <v>11</v>
      </c>
      <c r="N35" s="44" t="s">
        <v>254</v>
      </c>
      <c r="O35" s="44"/>
      <c r="P35" s="39"/>
      <c r="Q35" s="39"/>
      <c r="R35" s="39"/>
      <c r="S35" s="44"/>
      <c r="T35" s="39">
        <v>1260000</v>
      </c>
      <c r="U35" s="39">
        <v>150000</v>
      </c>
      <c r="V35" s="39">
        <f t="shared" si="1"/>
        <v>150000</v>
      </c>
      <c r="W35" s="44"/>
      <c r="X35" s="38"/>
      <c r="Y35" s="38"/>
      <c r="Z35" s="38"/>
      <c r="AA35" s="38"/>
      <c r="AB35" s="38"/>
    </row>
    <row r="36" spans="1:28" ht="110.25" customHeight="1" x14ac:dyDescent="0.2">
      <c r="A36" s="44" t="s">
        <v>248</v>
      </c>
      <c r="B36" s="44" t="s">
        <v>35</v>
      </c>
      <c r="C36" s="44" t="s">
        <v>298</v>
      </c>
      <c r="D36" s="44">
        <v>174456</v>
      </c>
      <c r="E36" s="44" t="s">
        <v>299</v>
      </c>
      <c r="F36" s="44" t="s">
        <v>300</v>
      </c>
      <c r="G36" s="44" t="s">
        <v>301</v>
      </c>
      <c r="H36" s="44" t="s">
        <v>120</v>
      </c>
      <c r="I36" s="46">
        <v>44878</v>
      </c>
      <c r="J36" s="46">
        <v>44878</v>
      </c>
      <c r="K36" s="44" t="s">
        <v>302</v>
      </c>
      <c r="L36" s="44">
        <v>1</v>
      </c>
      <c r="M36" s="44">
        <v>17</v>
      </c>
      <c r="N36" s="53"/>
      <c r="O36" s="44" t="s">
        <v>121</v>
      </c>
      <c r="P36" s="39">
        <v>150000</v>
      </c>
      <c r="Q36" s="39">
        <v>40000</v>
      </c>
      <c r="R36" s="39">
        <v>0</v>
      </c>
      <c r="S36" s="44"/>
      <c r="T36" s="39"/>
      <c r="U36" s="39">
        <v>150000</v>
      </c>
      <c r="V36" s="39">
        <f t="shared" si="1"/>
        <v>150000</v>
      </c>
      <c r="W36" s="44"/>
      <c r="X36" s="38"/>
      <c r="Y36" s="38"/>
      <c r="Z36" s="38"/>
      <c r="AA36" s="38"/>
      <c r="AB36" s="38"/>
    </row>
    <row r="37" spans="1:28" ht="102.75" customHeight="1" x14ac:dyDescent="0.2">
      <c r="A37" s="44" t="s">
        <v>248</v>
      </c>
      <c r="B37" s="44" t="s">
        <v>35</v>
      </c>
      <c r="C37" s="44" t="s">
        <v>303</v>
      </c>
      <c r="D37" s="44">
        <v>174459</v>
      </c>
      <c r="E37" s="44" t="s">
        <v>304</v>
      </c>
      <c r="F37" s="44" t="s">
        <v>303</v>
      </c>
      <c r="G37" s="44" t="s">
        <v>301</v>
      </c>
      <c r="H37" s="44" t="s">
        <v>120</v>
      </c>
      <c r="I37" s="46">
        <v>44880</v>
      </c>
      <c r="J37" s="46">
        <v>44883</v>
      </c>
      <c r="K37" s="44" t="s">
        <v>305</v>
      </c>
      <c r="L37" s="44">
        <v>4</v>
      </c>
      <c r="M37" s="44">
        <v>17</v>
      </c>
      <c r="N37" s="44" t="s">
        <v>254</v>
      </c>
      <c r="O37" s="44"/>
      <c r="P37" s="39"/>
      <c r="Q37" s="39"/>
      <c r="R37" s="39"/>
      <c r="S37" s="44"/>
      <c r="T37" s="39">
        <v>12720000</v>
      </c>
      <c r="U37" s="39">
        <v>150000</v>
      </c>
      <c r="V37" s="39">
        <f t="shared" si="1"/>
        <v>600000</v>
      </c>
      <c r="W37" s="44"/>
      <c r="X37" s="38"/>
      <c r="Y37" s="38"/>
      <c r="Z37" s="38"/>
      <c r="AA37" s="38"/>
      <c r="AB37" s="38"/>
    </row>
    <row r="38" spans="1:28" ht="128.25" customHeight="1" x14ac:dyDescent="0.2">
      <c r="A38" s="44" t="s">
        <v>248</v>
      </c>
      <c r="B38" s="44" t="s">
        <v>35</v>
      </c>
      <c r="C38" s="44" t="s">
        <v>306</v>
      </c>
      <c r="D38" s="44">
        <v>174438</v>
      </c>
      <c r="E38" s="44" t="s">
        <v>307</v>
      </c>
      <c r="F38" s="44" t="s">
        <v>308</v>
      </c>
      <c r="G38" s="44" t="s">
        <v>309</v>
      </c>
      <c r="H38" s="44" t="s">
        <v>120</v>
      </c>
      <c r="I38" s="46">
        <v>44881</v>
      </c>
      <c r="J38" s="46">
        <v>44881</v>
      </c>
      <c r="K38" s="44" t="s">
        <v>310</v>
      </c>
      <c r="L38" s="44">
        <v>1</v>
      </c>
      <c r="M38" s="44">
        <v>22</v>
      </c>
      <c r="N38" s="44" t="s">
        <v>254</v>
      </c>
      <c r="O38" s="44"/>
      <c r="P38" s="39"/>
      <c r="Q38" s="39"/>
      <c r="R38" s="39"/>
      <c r="S38" s="44"/>
      <c r="T38" s="39">
        <v>1890000</v>
      </c>
      <c r="U38" s="39">
        <v>150000</v>
      </c>
      <c r="V38" s="39">
        <f t="shared" si="1"/>
        <v>150000</v>
      </c>
      <c r="W38" s="44"/>
      <c r="X38" s="38"/>
      <c r="Y38" s="38"/>
      <c r="Z38" s="38"/>
      <c r="AA38" s="38"/>
      <c r="AB38" s="38"/>
    </row>
    <row r="39" spans="1:28" ht="222" customHeight="1" x14ac:dyDescent="0.2">
      <c r="A39" s="44" t="s">
        <v>248</v>
      </c>
      <c r="B39" s="44" t="s">
        <v>35</v>
      </c>
      <c r="C39" s="44" t="s">
        <v>311</v>
      </c>
      <c r="D39" s="44">
        <v>174430</v>
      </c>
      <c r="E39" s="44" t="s">
        <v>312</v>
      </c>
      <c r="F39" s="44" t="s">
        <v>313</v>
      </c>
      <c r="G39" s="44" t="s">
        <v>314</v>
      </c>
      <c r="H39" s="44" t="s">
        <v>118</v>
      </c>
      <c r="I39" s="46">
        <v>44881</v>
      </c>
      <c r="J39" s="46">
        <v>44883</v>
      </c>
      <c r="K39" s="44" t="s">
        <v>315</v>
      </c>
      <c r="L39" s="44">
        <v>3</v>
      </c>
      <c r="M39" s="44">
        <v>18</v>
      </c>
      <c r="N39" s="44" t="s">
        <v>254</v>
      </c>
      <c r="O39" s="44"/>
      <c r="P39" s="39"/>
      <c r="Q39" s="39"/>
      <c r="R39" s="39"/>
      <c r="S39" s="44"/>
      <c r="T39" s="39">
        <v>2400000</v>
      </c>
      <c r="U39" s="39">
        <v>150000</v>
      </c>
      <c r="V39" s="39">
        <f t="shared" si="1"/>
        <v>450000</v>
      </c>
      <c r="W39" s="44"/>
      <c r="X39" s="38"/>
      <c r="Y39" s="38"/>
      <c r="Z39" s="38"/>
      <c r="AA39" s="38"/>
      <c r="AB39" s="38"/>
    </row>
    <row r="40" spans="1:28" ht="93.75" customHeight="1" x14ac:dyDescent="0.2">
      <c r="A40" s="44" t="s">
        <v>248</v>
      </c>
      <c r="B40" s="44" t="s">
        <v>35</v>
      </c>
      <c r="C40" s="44" t="s">
        <v>316</v>
      </c>
      <c r="D40" s="44">
        <v>174399</v>
      </c>
      <c r="E40" s="44" t="s">
        <v>317</v>
      </c>
      <c r="F40" s="44" t="s">
        <v>318</v>
      </c>
      <c r="G40" s="44" t="s">
        <v>273</v>
      </c>
      <c r="H40" s="44" t="s">
        <v>120</v>
      </c>
      <c r="I40" s="48">
        <v>44881</v>
      </c>
      <c r="J40" s="48">
        <v>44883</v>
      </c>
      <c r="K40" s="44" t="s">
        <v>319</v>
      </c>
      <c r="L40" s="44">
        <v>3</v>
      </c>
      <c r="M40" s="44">
        <v>16</v>
      </c>
      <c r="N40" s="44"/>
      <c r="O40" s="44"/>
      <c r="P40" s="39"/>
      <c r="Q40" s="39"/>
      <c r="R40" s="39"/>
      <c r="S40" s="44"/>
      <c r="T40" s="39">
        <v>10350000</v>
      </c>
      <c r="U40" s="39">
        <v>150000</v>
      </c>
      <c r="V40" s="39">
        <f t="shared" si="1"/>
        <v>450000</v>
      </c>
      <c r="W40" s="44"/>
      <c r="X40" s="38"/>
      <c r="Y40" s="38"/>
      <c r="Z40" s="38"/>
      <c r="AA40" s="38"/>
      <c r="AB40" s="38"/>
    </row>
    <row r="41" spans="1:28" ht="146.25" customHeight="1" x14ac:dyDescent="0.2">
      <c r="A41" s="44" t="s">
        <v>248</v>
      </c>
      <c r="B41" s="44" t="s">
        <v>35</v>
      </c>
      <c r="C41" s="44" t="s">
        <v>320</v>
      </c>
      <c r="D41" s="44">
        <v>174373</v>
      </c>
      <c r="E41" s="44" t="s">
        <v>321</v>
      </c>
      <c r="F41" s="44" t="s">
        <v>322</v>
      </c>
      <c r="G41" s="44" t="s">
        <v>268</v>
      </c>
      <c r="H41" s="44" t="s">
        <v>120</v>
      </c>
      <c r="I41" s="46">
        <v>44883</v>
      </c>
      <c r="J41" s="46">
        <v>44883</v>
      </c>
      <c r="K41" s="44" t="s">
        <v>323</v>
      </c>
      <c r="L41" s="44">
        <v>1</v>
      </c>
      <c r="M41" s="44">
        <v>21</v>
      </c>
      <c r="N41" s="44" t="s">
        <v>254</v>
      </c>
      <c r="O41" s="44"/>
      <c r="P41" s="39"/>
      <c r="Q41" s="39"/>
      <c r="R41" s="39"/>
      <c r="S41" s="44"/>
      <c r="T41" s="39">
        <v>830000</v>
      </c>
      <c r="U41" s="39">
        <v>150000</v>
      </c>
      <c r="V41" s="39">
        <f t="shared" si="1"/>
        <v>150000</v>
      </c>
      <c r="W41" s="44"/>
      <c r="X41" s="38"/>
      <c r="Y41" s="38"/>
      <c r="Z41" s="38"/>
      <c r="AA41" s="38"/>
      <c r="AB41" s="38"/>
    </row>
    <row r="42" spans="1:28" ht="93.75" customHeight="1" x14ac:dyDescent="0.2">
      <c r="A42" s="44" t="s">
        <v>248</v>
      </c>
      <c r="B42" s="44" t="s">
        <v>35</v>
      </c>
      <c r="C42" s="44" t="s">
        <v>324</v>
      </c>
      <c r="D42" s="44">
        <v>174611</v>
      </c>
      <c r="E42" s="44" t="s">
        <v>325</v>
      </c>
      <c r="F42" s="44" t="s">
        <v>326</v>
      </c>
      <c r="G42" s="44" t="s">
        <v>288</v>
      </c>
      <c r="H42" s="44" t="s">
        <v>120</v>
      </c>
      <c r="I42" s="46">
        <v>44883</v>
      </c>
      <c r="J42" s="46">
        <v>44883</v>
      </c>
      <c r="K42" s="44" t="s">
        <v>289</v>
      </c>
      <c r="L42" s="44">
        <v>1</v>
      </c>
      <c r="M42" s="44">
        <v>10</v>
      </c>
      <c r="N42" s="44" t="s">
        <v>254</v>
      </c>
      <c r="O42" s="44"/>
      <c r="P42" s="39"/>
      <c r="Q42" s="39"/>
      <c r="R42" s="39"/>
      <c r="S42" s="44"/>
      <c r="T42" s="39">
        <v>1560000</v>
      </c>
      <c r="U42" s="39">
        <v>150000</v>
      </c>
      <c r="V42" s="39">
        <f t="shared" si="1"/>
        <v>150000</v>
      </c>
      <c r="W42" s="44"/>
      <c r="X42" s="38"/>
      <c r="Y42" s="38"/>
      <c r="Z42" s="38"/>
      <c r="AA42" s="38"/>
      <c r="AB42" s="38"/>
    </row>
    <row r="43" spans="1:28" ht="93.75" customHeight="1" x14ac:dyDescent="0.2">
      <c r="A43" s="44" t="s">
        <v>248</v>
      </c>
      <c r="B43" s="44" t="s">
        <v>35</v>
      </c>
      <c r="C43" s="44" t="s">
        <v>327</v>
      </c>
      <c r="D43" s="44">
        <v>174620</v>
      </c>
      <c r="E43" s="44" t="s">
        <v>328</v>
      </c>
      <c r="F43" s="44" t="s">
        <v>329</v>
      </c>
      <c r="G43" s="44" t="s">
        <v>258</v>
      </c>
      <c r="H43" s="44" t="s">
        <v>200</v>
      </c>
      <c r="I43" s="48">
        <v>44883</v>
      </c>
      <c r="J43" s="48">
        <v>44883</v>
      </c>
      <c r="K43" s="44" t="s">
        <v>330</v>
      </c>
      <c r="L43" s="44"/>
      <c r="M43" s="44">
        <v>9</v>
      </c>
      <c r="N43" s="53"/>
      <c r="O43" s="44"/>
      <c r="P43" s="39"/>
      <c r="Q43" s="39"/>
      <c r="R43" s="39"/>
      <c r="S43" s="44"/>
      <c r="T43" s="39">
        <v>1070000</v>
      </c>
      <c r="U43" s="39">
        <v>150000</v>
      </c>
      <c r="V43" s="39">
        <f t="shared" si="1"/>
        <v>0</v>
      </c>
      <c r="W43" s="44"/>
      <c r="X43" s="38"/>
      <c r="Y43" s="38"/>
      <c r="Z43" s="38"/>
      <c r="AA43" s="38"/>
      <c r="AB43" s="38"/>
    </row>
    <row r="44" spans="1:28" ht="93.75" customHeight="1" x14ac:dyDescent="0.2">
      <c r="A44" s="44" t="s">
        <v>248</v>
      </c>
      <c r="B44" s="44" t="s">
        <v>35</v>
      </c>
      <c r="C44" s="44" t="s">
        <v>331</v>
      </c>
      <c r="D44" s="44">
        <v>174626</v>
      </c>
      <c r="E44" s="44" t="s">
        <v>332</v>
      </c>
      <c r="F44" s="44" t="s">
        <v>158</v>
      </c>
      <c r="G44" s="44" t="s">
        <v>258</v>
      </c>
      <c r="H44" s="44" t="s">
        <v>200</v>
      </c>
      <c r="I44" s="46">
        <v>44884</v>
      </c>
      <c r="J44" s="46">
        <v>44885</v>
      </c>
      <c r="K44" s="44" t="s">
        <v>333</v>
      </c>
      <c r="L44" s="44">
        <v>2</v>
      </c>
      <c r="M44" s="44">
        <v>3</v>
      </c>
      <c r="N44" s="44" t="s">
        <v>254</v>
      </c>
      <c r="O44" s="44" t="s">
        <v>121</v>
      </c>
      <c r="P44" s="39">
        <v>150000</v>
      </c>
      <c r="Q44" s="39">
        <v>20000</v>
      </c>
      <c r="R44" s="39">
        <v>10000</v>
      </c>
      <c r="S44" s="44"/>
      <c r="T44" s="39"/>
      <c r="U44" s="39">
        <v>150000</v>
      </c>
      <c r="V44" s="39">
        <f t="shared" si="1"/>
        <v>300000</v>
      </c>
      <c r="W44" s="44"/>
      <c r="X44" s="38"/>
      <c r="Y44" s="38"/>
      <c r="Z44" s="38"/>
      <c r="AA44" s="38"/>
      <c r="AB44" s="38"/>
    </row>
    <row r="45" spans="1:28" ht="114" customHeight="1" x14ac:dyDescent="0.2">
      <c r="A45" s="44" t="s">
        <v>248</v>
      </c>
      <c r="B45" s="44" t="s">
        <v>35</v>
      </c>
      <c r="C45" s="44" t="s">
        <v>334</v>
      </c>
      <c r="D45" s="44">
        <v>174415</v>
      </c>
      <c r="E45" s="44" t="s">
        <v>335</v>
      </c>
      <c r="F45" s="44" t="s">
        <v>336</v>
      </c>
      <c r="G45" s="44" t="s">
        <v>309</v>
      </c>
      <c r="H45" s="44" t="s">
        <v>120</v>
      </c>
      <c r="I45" s="46">
        <v>44887</v>
      </c>
      <c r="J45" s="46">
        <v>44887</v>
      </c>
      <c r="K45" s="44" t="s">
        <v>337</v>
      </c>
      <c r="L45" s="44">
        <v>1</v>
      </c>
      <c r="M45" s="44">
        <v>9</v>
      </c>
      <c r="N45" s="44" t="s">
        <v>254</v>
      </c>
      <c r="O45" s="44"/>
      <c r="P45" s="39"/>
      <c r="Q45" s="39"/>
      <c r="R45" s="39"/>
      <c r="S45" s="44"/>
      <c r="T45" s="39">
        <v>2140000</v>
      </c>
      <c r="U45" s="39">
        <v>150000</v>
      </c>
      <c r="V45" s="39">
        <f t="shared" si="1"/>
        <v>150000</v>
      </c>
      <c r="W45" s="44"/>
      <c r="X45" s="38"/>
      <c r="Y45" s="38"/>
      <c r="Z45" s="38"/>
      <c r="AA45" s="38"/>
      <c r="AB45" s="38"/>
    </row>
    <row r="46" spans="1:28" ht="93.75" customHeight="1" x14ac:dyDescent="0.2">
      <c r="A46" s="44" t="s">
        <v>248</v>
      </c>
      <c r="B46" s="44" t="s">
        <v>35</v>
      </c>
      <c r="C46" s="44" t="s">
        <v>338</v>
      </c>
      <c r="D46" s="44" t="s">
        <v>339</v>
      </c>
      <c r="E46" s="44" t="s">
        <v>340</v>
      </c>
      <c r="F46" s="44" t="s">
        <v>341</v>
      </c>
      <c r="G46" s="44" t="s">
        <v>309</v>
      </c>
      <c r="H46" s="44" t="s">
        <v>120</v>
      </c>
      <c r="I46" s="46">
        <v>44888</v>
      </c>
      <c r="J46" s="46">
        <v>44891</v>
      </c>
      <c r="K46" s="44" t="s">
        <v>342</v>
      </c>
      <c r="L46" s="44">
        <v>4</v>
      </c>
      <c r="M46" s="44">
        <f>16+24</f>
        <v>40</v>
      </c>
      <c r="N46" s="44" t="s">
        <v>254</v>
      </c>
      <c r="O46" s="44" t="s">
        <v>218</v>
      </c>
      <c r="P46" s="39">
        <v>450000</v>
      </c>
      <c r="Q46" s="39">
        <v>390000</v>
      </c>
      <c r="R46" s="39">
        <v>60000</v>
      </c>
      <c r="S46" s="44"/>
      <c r="T46" s="39"/>
      <c r="U46" s="39">
        <v>150000</v>
      </c>
      <c r="V46" s="39">
        <f t="shared" si="1"/>
        <v>600000</v>
      </c>
      <c r="W46" s="44"/>
      <c r="X46" s="38"/>
      <c r="Y46" s="38"/>
      <c r="Z46" s="38"/>
      <c r="AA46" s="38"/>
      <c r="AB46" s="38"/>
    </row>
    <row r="47" spans="1:28" ht="93.75" customHeight="1" x14ac:dyDescent="0.2">
      <c r="A47" s="44" t="s">
        <v>248</v>
      </c>
      <c r="B47" s="44" t="s">
        <v>35</v>
      </c>
      <c r="C47" s="44" t="s">
        <v>343</v>
      </c>
      <c r="D47" s="44">
        <v>174628</v>
      </c>
      <c r="E47" s="44" t="s">
        <v>344</v>
      </c>
      <c r="F47" s="44" t="s">
        <v>345</v>
      </c>
      <c r="G47" s="44" t="s">
        <v>263</v>
      </c>
      <c r="H47" s="44" t="s">
        <v>120</v>
      </c>
      <c r="I47" s="46">
        <v>44889</v>
      </c>
      <c r="J47" s="46">
        <v>44889</v>
      </c>
      <c r="K47" s="44" t="s">
        <v>346</v>
      </c>
      <c r="L47" s="44">
        <v>1</v>
      </c>
      <c r="M47" s="44">
        <v>14</v>
      </c>
      <c r="N47" s="44" t="s">
        <v>254</v>
      </c>
      <c r="O47" s="44"/>
      <c r="P47" s="39"/>
      <c r="Q47" s="39"/>
      <c r="R47" s="39"/>
      <c r="S47" s="44"/>
      <c r="T47" s="39">
        <v>1120000</v>
      </c>
      <c r="U47" s="39">
        <v>150000</v>
      </c>
      <c r="V47" s="39">
        <f t="shared" si="1"/>
        <v>150000</v>
      </c>
      <c r="W47" s="44"/>
      <c r="X47" s="38"/>
      <c r="Y47" s="38"/>
      <c r="Z47" s="38"/>
      <c r="AA47" s="38"/>
      <c r="AB47" s="38"/>
    </row>
    <row r="48" spans="1:28" ht="93.75" customHeight="1" x14ac:dyDescent="0.2">
      <c r="A48" s="44" t="s">
        <v>248</v>
      </c>
      <c r="B48" s="44" t="s">
        <v>35</v>
      </c>
      <c r="C48" s="44" t="s">
        <v>347</v>
      </c>
      <c r="D48" s="44">
        <v>174643</v>
      </c>
      <c r="E48" s="44" t="s">
        <v>348</v>
      </c>
      <c r="F48" s="44" t="s">
        <v>349</v>
      </c>
      <c r="G48" s="44" t="s">
        <v>273</v>
      </c>
      <c r="H48" s="44" t="s">
        <v>120</v>
      </c>
      <c r="I48" s="48">
        <v>44890</v>
      </c>
      <c r="J48" s="48">
        <v>44890</v>
      </c>
      <c r="K48" s="44" t="s">
        <v>350</v>
      </c>
      <c r="L48" s="44">
        <v>1</v>
      </c>
      <c r="M48" s="44">
        <v>20</v>
      </c>
      <c r="N48" s="44" t="s">
        <v>254</v>
      </c>
      <c r="O48" s="44"/>
      <c r="P48" s="39"/>
      <c r="Q48" s="39"/>
      <c r="R48" s="39"/>
      <c r="S48" s="44"/>
      <c r="T48" s="39">
        <v>1120000</v>
      </c>
      <c r="U48" s="39">
        <v>150000</v>
      </c>
      <c r="V48" s="39">
        <f t="shared" si="1"/>
        <v>150000</v>
      </c>
      <c r="W48" s="44"/>
      <c r="X48" s="38"/>
      <c r="Y48" s="38"/>
      <c r="Z48" s="38"/>
      <c r="AA48" s="38"/>
      <c r="AB48" s="38"/>
    </row>
    <row r="49" spans="1:28" ht="93.75" customHeight="1" x14ac:dyDescent="0.2">
      <c r="A49" s="44" t="s">
        <v>248</v>
      </c>
      <c r="B49" s="44" t="s">
        <v>35</v>
      </c>
      <c r="C49" s="44" t="s">
        <v>298</v>
      </c>
      <c r="D49" s="44">
        <v>174456</v>
      </c>
      <c r="E49" s="44" t="s">
        <v>299</v>
      </c>
      <c r="F49" s="44" t="s">
        <v>300</v>
      </c>
      <c r="G49" s="44" t="s">
        <v>301</v>
      </c>
      <c r="H49" s="44" t="s">
        <v>120</v>
      </c>
      <c r="I49" s="46">
        <v>44892</v>
      </c>
      <c r="J49" s="46">
        <v>44892</v>
      </c>
      <c r="K49" s="44" t="s">
        <v>302</v>
      </c>
      <c r="L49" s="44">
        <v>1</v>
      </c>
      <c r="M49" s="44">
        <v>17</v>
      </c>
      <c r="N49" s="44" t="s">
        <v>254</v>
      </c>
      <c r="O49" s="44"/>
      <c r="P49" s="39"/>
      <c r="Q49" s="39"/>
      <c r="R49" s="39"/>
      <c r="S49" s="44"/>
      <c r="T49" s="39">
        <v>1120000</v>
      </c>
      <c r="U49" s="39">
        <v>150000</v>
      </c>
      <c r="V49" s="39">
        <f t="shared" si="1"/>
        <v>150000</v>
      </c>
      <c r="W49" s="44"/>
      <c r="X49" s="38"/>
      <c r="Y49" s="38"/>
      <c r="Z49" s="38"/>
      <c r="AA49" s="38"/>
      <c r="AB49" s="38"/>
    </row>
    <row r="50" spans="1:28" ht="93.75" customHeight="1" x14ac:dyDescent="0.2">
      <c r="A50" s="44" t="s">
        <v>248</v>
      </c>
      <c r="B50" s="44" t="s">
        <v>35</v>
      </c>
      <c r="C50" s="44" t="s">
        <v>351</v>
      </c>
      <c r="D50" s="44">
        <v>174616</v>
      </c>
      <c r="E50" s="44" t="s">
        <v>352</v>
      </c>
      <c r="F50" s="44" t="s">
        <v>353</v>
      </c>
      <c r="G50" s="44" t="s">
        <v>258</v>
      </c>
      <c r="H50" s="44" t="s">
        <v>200</v>
      </c>
      <c r="I50" s="46">
        <v>44894</v>
      </c>
      <c r="J50" s="46">
        <v>44894</v>
      </c>
      <c r="K50" s="44" t="s">
        <v>354</v>
      </c>
      <c r="L50" s="44">
        <v>1</v>
      </c>
      <c r="M50" s="44">
        <v>11</v>
      </c>
      <c r="N50" s="44" t="s">
        <v>254</v>
      </c>
      <c r="O50" s="44"/>
      <c r="P50" s="39"/>
      <c r="Q50" s="39"/>
      <c r="R50" s="39"/>
      <c r="S50" s="44"/>
      <c r="T50" s="39">
        <v>1210000</v>
      </c>
      <c r="U50" s="39">
        <v>150000</v>
      </c>
      <c r="V50" s="39">
        <f t="shared" si="1"/>
        <v>150000</v>
      </c>
      <c r="W50" s="44"/>
      <c r="X50" s="38"/>
      <c r="Y50" s="38"/>
      <c r="Z50" s="38"/>
      <c r="AA50" s="38"/>
      <c r="AB50" s="38"/>
    </row>
    <row r="51" spans="1:28" ht="93.75" customHeight="1" x14ac:dyDescent="0.2">
      <c r="A51" s="44" t="s">
        <v>248</v>
      </c>
      <c r="B51" s="44" t="s">
        <v>35</v>
      </c>
      <c r="C51" s="44" t="s">
        <v>355</v>
      </c>
      <c r="D51" s="44">
        <v>174285</v>
      </c>
      <c r="E51" s="44" t="s">
        <v>356</v>
      </c>
      <c r="F51" s="44" t="s">
        <v>355</v>
      </c>
      <c r="G51" s="44" t="s">
        <v>263</v>
      </c>
      <c r="H51" s="44" t="s">
        <v>120</v>
      </c>
      <c r="I51" s="48">
        <v>44897</v>
      </c>
      <c r="J51" s="48">
        <v>44897</v>
      </c>
      <c r="K51" s="44" t="s">
        <v>357</v>
      </c>
      <c r="L51" s="44">
        <v>1</v>
      </c>
      <c r="M51" s="44">
        <v>21</v>
      </c>
      <c r="N51" s="44" t="s">
        <v>254</v>
      </c>
      <c r="O51" s="44"/>
      <c r="P51" s="39"/>
      <c r="Q51" s="39"/>
      <c r="R51" s="39"/>
      <c r="S51" s="44"/>
      <c r="T51" s="39">
        <v>1190000</v>
      </c>
      <c r="U51" s="39">
        <v>150000</v>
      </c>
      <c r="V51" s="39">
        <f t="shared" si="1"/>
        <v>150000</v>
      </c>
      <c r="W51" s="44"/>
      <c r="X51" s="38"/>
      <c r="Y51" s="38"/>
      <c r="Z51" s="38"/>
      <c r="AA51" s="38"/>
      <c r="AB51" s="38"/>
    </row>
    <row r="52" spans="1:28" ht="93.75" customHeight="1" x14ac:dyDescent="0.2">
      <c r="A52" s="44" t="s">
        <v>248</v>
      </c>
      <c r="B52" s="44" t="s">
        <v>35</v>
      </c>
      <c r="C52" s="44" t="s">
        <v>358</v>
      </c>
      <c r="D52" s="44">
        <v>174436</v>
      </c>
      <c r="E52" s="44" t="s">
        <v>359</v>
      </c>
      <c r="F52" s="44" t="s">
        <v>360</v>
      </c>
      <c r="G52" s="44" t="s">
        <v>314</v>
      </c>
      <c r="H52" s="44" t="s">
        <v>118</v>
      </c>
      <c r="I52" s="46">
        <v>44918</v>
      </c>
      <c r="J52" s="46">
        <v>44920</v>
      </c>
      <c r="K52" s="44" t="s">
        <v>361</v>
      </c>
      <c r="L52" s="44">
        <v>3</v>
      </c>
      <c r="M52" s="44">
        <v>26</v>
      </c>
      <c r="N52" s="44" t="s">
        <v>254</v>
      </c>
      <c r="O52" s="44" t="s">
        <v>362</v>
      </c>
      <c r="P52" s="39">
        <v>150000</v>
      </c>
      <c r="Q52" s="39">
        <v>81000</v>
      </c>
      <c r="R52" s="39">
        <v>20000</v>
      </c>
      <c r="S52" s="44"/>
      <c r="T52" s="39"/>
      <c r="U52" s="39">
        <v>150000</v>
      </c>
      <c r="V52" s="39">
        <f t="shared" si="1"/>
        <v>450000</v>
      </c>
      <c r="W52" s="44"/>
      <c r="X52" s="38"/>
      <c r="Y52" s="38"/>
      <c r="Z52" s="38"/>
      <c r="AA52" s="38"/>
      <c r="AB52" s="38"/>
    </row>
    <row r="53" spans="1:28" ht="129.75" customHeight="1" x14ac:dyDescent="0.2">
      <c r="A53" s="44" t="s">
        <v>248</v>
      </c>
      <c r="B53" s="44" t="s">
        <v>35</v>
      </c>
      <c r="C53" s="44" t="s">
        <v>363</v>
      </c>
      <c r="D53" s="44">
        <v>174349</v>
      </c>
      <c r="E53" s="44" t="s">
        <v>364</v>
      </c>
      <c r="F53" s="44" t="s">
        <v>365</v>
      </c>
      <c r="G53" s="44" t="s">
        <v>301</v>
      </c>
      <c r="H53" s="44" t="s">
        <v>120</v>
      </c>
      <c r="I53" s="44" t="s">
        <v>366</v>
      </c>
      <c r="J53" s="44" t="s">
        <v>367</v>
      </c>
      <c r="K53" s="44" t="s">
        <v>368</v>
      </c>
      <c r="L53" s="44">
        <v>4</v>
      </c>
      <c r="M53" s="44">
        <v>19</v>
      </c>
      <c r="N53" s="44" t="s">
        <v>254</v>
      </c>
      <c r="O53" s="44" t="s">
        <v>233</v>
      </c>
      <c r="P53" s="39">
        <v>450000</v>
      </c>
      <c r="Q53" s="39">
        <v>250000</v>
      </c>
      <c r="R53" s="39">
        <v>60000</v>
      </c>
      <c r="S53" s="44"/>
      <c r="T53" s="39"/>
      <c r="U53" s="39">
        <v>150000</v>
      </c>
      <c r="V53" s="39">
        <f t="shared" si="1"/>
        <v>600000</v>
      </c>
      <c r="W53" s="44"/>
      <c r="X53" s="38"/>
      <c r="Y53" s="38"/>
      <c r="Z53" s="38"/>
      <c r="AA53" s="38"/>
      <c r="AB53" s="38"/>
    </row>
    <row r="54" spans="1:28" ht="93.75" customHeight="1" x14ac:dyDescent="0.2">
      <c r="A54" s="44" t="s">
        <v>36</v>
      </c>
      <c r="B54" s="44" t="s">
        <v>35</v>
      </c>
      <c r="C54" s="44" t="s">
        <v>369</v>
      </c>
      <c r="D54" s="44">
        <v>174420</v>
      </c>
      <c r="E54" s="44" t="s">
        <v>276</v>
      </c>
      <c r="F54" s="44" t="s">
        <v>370</v>
      </c>
      <c r="G54" s="44" t="s">
        <v>278</v>
      </c>
      <c r="H54" s="44" t="s">
        <v>200</v>
      </c>
      <c r="I54" s="46">
        <v>44852</v>
      </c>
      <c r="J54" s="46">
        <v>44855</v>
      </c>
      <c r="K54" s="44" t="s">
        <v>371</v>
      </c>
      <c r="L54" s="44">
        <v>4</v>
      </c>
      <c r="M54" s="44">
        <v>6</v>
      </c>
      <c r="N54" s="44"/>
      <c r="O54" s="44" t="s">
        <v>121</v>
      </c>
      <c r="P54" s="39">
        <v>700000</v>
      </c>
      <c r="Q54" s="39">
        <v>350000</v>
      </c>
      <c r="R54" s="39">
        <v>75000</v>
      </c>
      <c r="S54" s="44"/>
      <c r="T54" s="39"/>
      <c r="U54" s="39">
        <v>150000</v>
      </c>
      <c r="V54" s="39">
        <f t="shared" si="1"/>
        <v>600000</v>
      </c>
      <c r="W54" s="44"/>
      <c r="X54" s="38"/>
      <c r="Y54" s="38"/>
      <c r="Z54" s="38"/>
      <c r="AA54" s="38"/>
      <c r="AB54" s="38"/>
    </row>
    <row r="55" spans="1:28" ht="93.75" customHeight="1" x14ac:dyDescent="0.2">
      <c r="A55" s="44" t="s">
        <v>36</v>
      </c>
      <c r="B55" s="44" t="s">
        <v>35</v>
      </c>
      <c r="C55" s="44" t="s">
        <v>372</v>
      </c>
      <c r="D55" s="44">
        <v>174370</v>
      </c>
      <c r="E55" s="44" t="s">
        <v>250</v>
      </c>
      <c r="F55" s="44" t="s">
        <v>251</v>
      </c>
      <c r="G55" s="44" t="s">
        <v>373</v>
      </c>
      <c r="H55" s="44" t="s">
        <v>120</v>
      </c>
      <c r="I55" s="46">
        <v>44852</v>
      </c>
      <c r="J55" s="46">
        <v>44852</v>
      </c>
      <c r="K55" s="44" t="s">
        <v>374</v>
      </c>
      <c r="L55" s="44">
        <v>1</v>
      </c>
      <c r="M55" s="44">
        <v>17</v>
      </c>
      <c r="N55" s="44"/>
      <c r="O55" s="44"/>
      <c r="P55" s="39"/>
      <c r="Q55" s="39"/>
      <c r="R55" s="39"/>
      <c r="S55" s="44"/>
      <c r="T55" s="39">
        <v>650000</v>
      </c>
      <c r="U55" s="39">
        <v>150000</v>
      </c>
      <c r="V55" s="39">
        <f t="shared" si="1"/>
        <v>150000</v>
      </c>
      <c r="W55" s="44"/>
      <c r="X55" s="38"/>
      <c r="Y55" s="38"/>
      <c r="Z55" s="38"/>
      <c r="AA55" s="38"/>
      <c r="AB55" s="38"/>
    </row>
    <row r="56" spans="1:28" ht="110.25" customHeight="1" x14ac:dyDescent="0.2">
      <c r="A56" s="44" t="s">
        <v>36</v>
      </c>
      <c r="B56" s="44" t="s">
        <v>35</v>
      </c>
      <c r="C56" s="44" t="s">
        <v>375</v>
      </c>
      <c r="D56" s="44">
        <v>172181</v>
      </c>
      <c r="E56" s="44" t="s">
        <v>356</v>
      </c>
      <c r="F56" s="44" t="s">
        <v>355</v>
      </c>
      <c r="G56" s="44" t="s">
        <v>376</v>
      </c>
      <c r="H56" s="44" t="s">
        <v>118</v>
      </c>
      <c r="I56" s="46">
        <v>44859</v>
      </c>
      <c r="J56" s="46">
        <v>44859</v>
      </c>
      <c r="K56" s="44" t="s">
        <v>377</v>
      </c>
      <c r="L56" s="44">
        <v>1</v>
      </c>
      <c r="M56" s="44">
        <v>27</v>
      </c>
      <c r="N56" s="44"/>
      <c r="O56" s="44"/>
      <c r="P56" s="39"/>
      <c r="Q56" s="39"/>
      <c r="R56" s="39"/>
      <c r="S56" s="44"/>
      <c r="T56" s="39">
        <v>1700000</v>
      </c>
      <c r="U56" s="39">
        <v>150000</v>
      </c>
      <c r="V56" s="39">
        <f t="shared" si="1"/>
        <v>150000</v>
      </c>
      <c r="W56" s="44"/>
      <c r="X56" s="38"/>
      <c r="Y56" s="38"/>
      <c r="Z56" s="38"/>
      <c r="AA56" s="38"/>
      <c r="AB56" s="38"/>
    </row>
    <row r="57" spans="1:28" ht="93.75" customHeight="1" x14ac:dyDescent="0.2">
      <c r="A57" s="44" t="s">
        <v>36</v>
      </c>
      <c r="B57" s="44" t="s">
        <v>35</v>
      </c>
      <c r="C57" s="44" t="s">
        <v>378</v>
      </c>
      <c r="D57" s="44">
        <v>172504</v>
      </c>
      <c r="E57" s="44" t="s">
        <v>364</v>
      </c>
      <c r="F57" s="44" t="s">
        <v>363</v>
      </c>
      <c r="G57" s="44" t="s">
        <v>379</v>
      </c>
      <c r="H57" s="44" t="s">
        <v>380</v>
      </c>
      <c r="I57" s="46">
        <v>44863</v>
      </c>
      <c r="J57" s="46">
        <v>44863</v>
      </c>
      <c r="K57" s="44" t="s">
        <v>381</v>
      </c>
      <c r="L57" s="44">
        <v>1</v>
      </c>
      <c r="M57" s="44">
        <v>7</v>
      </c>
      <c r="N57" s="44"/>
      <c r="O57" s="44"/>
      <c r="P57" s="39"/>
      <c r="Q57" s="39"/>
      <c r="R57" s="39"/>
      <c r="S57" s="44"/>
      <c r="T57" s="39">
        <v>1580000</v>
      </c>
      <c r="U57" s="39">
        <v>150000</v>
      </c>
      <c r="V57" s="39">
        <f t="shared" si="1"/>
        <v>150000</v>
      </c>
      <c r="W57" s="44"/>
      <c r="X57" s="38"/>
      <c r="Y57" s="38"/>
      <c r="Z57" s="38"/>
      <c r="AA57" s="38"/>
      <c r="AB57" s="38"/>
    </row>
    <row r="58" spans="1:28" ht="93.75" customHeight="1" x14ac:dyDescent="0.2">
      <c r="A58" s="44" t="s">
        <v>36</v>
      </c>
      <c r="B58" s="44" t="s">
        <v>35</v>
      </c>
      <c r="C58" s="44" t="s">
        <v>382</v>
      </c>
      <c r="D58" s="44">
        <v>172201</v>
      </c>
      <c r="E58" s="44" t="s">
        <v>295</v>
      </c>
      <c r="F58" s="44" t="s">
        <v>296</v>
      </c>
      <c r="G58" s="44" t="s">
        <v>379</v>
      </c>
      <c r="H58" s="44" t="s">
        <v>120</v>
      </c>
      <c r="I58" s="46">
        <v>44867</v>
      </c>
      <c r="J58" s="46">
        <v>44867</v>
      </c>
      <c r="K58" s="44" t="s">
        <v>383</v>
      </c>
      <c r="L58" s="44">
        <v>1</v>
      </c>
      <c r="M58" s="44">
        <v>18</v>
      </c>
      <c r="N58" s="44"/>
      <c r="O58" s="44"/>
      <c r="P58" s="39"/>
      <c r="Q58" s="39"/>
      <c r="R58" s="39"/>
      <c r="S58" s="44"/>
      <c r="T58" s="39">
        <v>1560000</v>
      </c>
      <c r="U58" s="39">
        <v>150000</v>
      </c>
      <c r="V58" s="39">
        <f t="shared" si="1"/>
        <v>150000</v>
      </c>
      <c r="W58" s="44"/>
      <c r="X58" s="38"/>
      <c r="Y58" s="38"/>
      <c r="Z58" s="38"/>
      <c r="AA58" s="38"/>
      <c r="AB58" s="38"/>
    </row>
    <row r="59" spans="1:28" ht="93.75" customHeight="1" x14ac:dyDescent="0.2">
      <c r="A59" s="44" t="s">
        <v>36</v>
      </c>
      <c r="B59" s="44" t="s">
        <v>35</v>
      </c>
      <c r="C59" s="44" t="s">
        <v>384</v>
      </c>
      <c r="D59" s="44">
        <v>172220</v>
      </c>
      <c r="E59" s="44" t="s">
        <v>312</v>
      </c>
      <c r="F59" s="44" t="s">
        <v>313</v>
      </c>
      <c r="G59" s="44" t="s">
        <v>385</v>
      </c>
      <c r="H59" s="44" t="s">
        <v>118</v>
      </c>
      <c r="I59" s="46">
        <v>44868</v>
      </c>
      <c r="J59" s="46">
        <v>44869</v>
      </c>
      <c r="K59" s="44" t="s">
        <v>386</v>
      </c>
      <c r="L59" s="44">
        <v>2</v>
      </c>
      <c r="M59" s="44">
        <v>13</v>
      </c>
      <c r="N59" s="44"/>
      <c r="O59" s="44"/>
      <c r="P59" s="39"/>
      <c r="Q59" s="39"/>
      <c r="R59" s="39"/>
      <c r="S59" s="44"/>
      <c r="T59" s="39">
        <v>1410000</v>
      </c>
      <c r="U59" s="39">
        <v>150000</v>
      </c>
      <c r="V59" s="39">
        <f t="shared" si="1"/>
        <v>300000</v>
      </c>
      <c r="W59" s="44"/>
      <c r="X59" s="38"/>
      <c r="Y59" s="38"/>
      <c r="Z59" s="38"/>
      <c r="AA59" s="38"/>
      <c r="AB59" s="38"/>
    </row>
    <row r="60" spans="1:28" ht="93.75" customHeight="1" x14ac:dyDescent="0.2">
      <c r="A60" s="44" t="s">
        <v>36</v>
      </c>
      <c r="B60" s="44" t="s">
        <v>35</v>
      </c>
      <c r="C60" s="44" t="s">
        <v>387</v>
      </c>
      <c r="D60" s="44">
        <v>172504</v>
      </c>
      <c r="E60" s="44" t="s">
        <v>364</v>
      </c>
      <c r="F60" s="44" t="s">
        <v>388</v>
      </c>
      <c r="G60" s="44" t="s">
        <v>379</v>
      </c>
      <c r="H60" s="44" t="s">
        <v>120</v>
      </c>
      <c r="I60" s="46">
        <v>44870</v>
      </c>
      <c r="J60" s="46">
        <v>44870</v>
      </c>
      <c r="K60" s="44" t="s">
        <v>389</v>
      </c>
      <c r="L60" s="44">
        <v>1</v>
      </c>
      <c r="M60" s="44">
        <v>7</v>
      </c>
      <c r="N60" s="44"/>
      <c r="O60" s="44" t="s">
        <v>121</v>
      </c>
      <c r="P60" s="39">
        <v>150000</v>
      </c>
      <c r="Q60" s="39">
        <v>40000</v>
      </c>
      <c r="R60" s="39">
        <v>0</v>
      </c>
      <c r="S60" s="44"/>
      <c r="T60" s="39"/>
      <c r="U60" s="39">
        <v>150000</v>
      </c>
      <c r="V60" s="39">
        <f t="shared" si="1"/>
        <v>150000</v>
      </c>
      <c r="W60" s="44"/>
      <c r="X60" s="38"/>
      <c r="Y60" s="38"/>
      <c r="Z60" s="38"/>
      <c r="AA60" s="38"/>
      <c r="AB60" s="38"/>
    </row>
    <row r="61" spans="1:28" ht="93.75" customHeight="1" x14ac:dyDescent="0.2">
      <c r="A61" s="44" t="s">
        <v>36</v>
      </c>
      <c r="B61" s="44" t="s">
        <v>35</v>
      </c>
      <c r="C61" s="44" t="s">
        <v>390</v>
      </c>
      <c r="D61" s="44">
        <v>174454</v>
      </c>
      <c r="E61" s="44" t="s">
        <v>261</v>
      </c>
      <c r="F61" s="44" t="s">
        <v>262</v>
      </c>
      <c r="G61" s="44" t="s">
        <v>385</v>
      </c>
      <c r="H61" s="44" t="s">
        <v>118</v>
      </c>
      <c r="I61" s="46">
        <v>44872</v>
      </c>
      <c r="J61" s="46">
        <v>44872</v>
      </c>
      <c r="K61" s="44" t="s">
        <v>391</v>
      </c>
      <c r="L61" s="44">
        <v>1</v>
      </c>
      <c r="M61" s="44">
        <v>8</v>
      </c>
      <c r="N61" s="44"/>
      <c r="O61" s="44" t="s">
        <v>211</v>
      </c>
      <c r="P61" s="39">
        <v>150000</v>
      </c>
      <c r="Q61" s="39">
        <v>20000</v>
      </c>
      <c r="R61" s="39">
        <v>0</v>
      </c>
      <c r="S61" s="44"/>
      <c r="T61" s="39"/>
      <c r="U61" s="39">
        <v>150000</v>
      </c>
      <c r="V61" s="39">
        <f t="shared" si="1"/>
        <v>150000</v>
      </c>
      <c r="W61" s="44"/>
      <c r="X61" s="38"/>
      <c r="Y61" s="38"/>
      <c r="Z61" s="38"/>
      <c r="AA61" s="38"/>
      <c r="AB61" s="38"/>
    </row>
    <row r="62" spans="1:28" ht="93.75" customHeight="1" x14ac:dyDescent="0.2">
      <c r="A62" s="44" t="s">
        <v>36</v>
      </c>
      <c r="B62" s="44" t="s">
        <v>35</v>
      </c>
      <c r="C62" s="44" t="s">
        <v>392</v>
      </c>
      <c r="D62" s="44">
        <v>172224</v>
      </c>
      <c r="E62" s="44" t="s">
        <v>317</v>
      </c>
      <c r="F62" s="44" t="s">
        <v>318</v>
      </c>
      <c r="G62" s="44" t="s">
        <v>393</v>
      </c>
      <c r="H62" s="44" t="s">
        <v>200</v>
      </c>
      <c r="I62" s="46">
        <v>44872</v>
      </c>
      <c r="J62" s="46">
        <v>44872</v>
      </c>
      <c r="K62" s="44" t="s">
        <v>394</v>
      </c>
      <c r="L62" s="44">
        <v>1</v>
      </c>
      <c r="M62" s="44">
        <v>20</v>
      </c>
      <c r="N62" s="44"/>
      <c r="O62" s="44" t="s">
        <v>140</v>
      </c>
      <c r="P62" s="39">
        <v>150000</v>
      </c>
      <c r="Q62" s="39">
        <v>40000</v>
      </c>
      <c r="R62" s="39">
        <v>0</v>
      </c>
      <c r="S62" s="44"/>
      <c r="T62" s="39"/>
      <c r="U62" s="39">
        <v>150000</v>
      </c>
      <c r="V62" s="39">
        <f t="shared" si="1"/>
        <v>150000</v>
      </c>
      <c r="W62" s="44"/>
      <c r="X62" s="38"/>
      <c r="Y62" s="38"/>
      <c r="Z62" s="38"/>
      <c r="AA62" s="38"/>
      <c r="AB62" s="38"/>
    </row>
    <row r="63" spans="1:28" ht="93.75" customHeight="1" x14ac:dyDescent="0.2">
      <c r="A63" s="44" t="s">
        <v>36</v>
      </c>
      <c r="B63" s="44" t="s">
        <v>35</v>
      </c>
      <c r="C63" s="44" t="s">
        <v>395</v>
      </c>
      <c r="D63" s="44">
        <v>172532</v>
      </c>
      <c r="E63" s="44" t="s">
        <v>332</v>
      </c>
      <c r="F63" s="44" t="s">
        <v>158</v>
      </c>
      <c r="G63" s="44" t="s">
        <v>396</v>
      </c>
      <c r="H63" s="44" t="s">
        <v>380</v>
      </c>
      <c r="I63" s="46">
        <v>44875</v>
      </c>
      <c r="J63" s="46">
        <v>44845</v>
      </c>
      <c r="K63" s="44" t="s">
        <v>397</v>
      </c>
      <c r="L63" s="44">
        <v>2</v>
      </c>
      <c r="M63" s="44">
        <v>9</v>
      </c>
      <c r="N63" s="44"/>
      <c r="O63" s="44"/>
      <c r="P63" s="39"/>
      <c r="Q63" s="39"/>
      <c r="R63" s="39"/>
      <c r="S63" s="44"/>
      <c r="T63" s="39">
        <v>3920000</v>
      </c>
      <c r="U63" s="39">
        <v>150000</v>
      </c>
      <c r="V63" s="39">
        <f t="shared" si="1"/>
        <v>300000</v>
      </c>
      <c r="W63" s="44"/>
      <c r="X63" s="38"/>
      <c r="Y63" s="38"/>
      <c r="Z63" s="38"/>
      <c r="AA63" s="38"/>
      <c r="AB63" s="38"/>
    </row>
    <row r="64" spans="1:28" ht="93.75" customHeight="1" x14ac:dyDescent="0.2">
      <c r="A64" s="44" t="s">
        <v>36</v>
      </c>
      <c r="B64" s="44" t="s">
        <v>35</v>
      </c>
      <c r="C64" s="44" t="s">
        <v>398</v>
      </c>
      <c r="D64" s="44">
        <v>173301</v>
      </c>
      <c r="E64" s="44" t="s">
        <v>299</v>
      </c>
      <c r="F64" s="44" t="s">
        <v>399</v>
      </c>
      <c r="G64" s="44" t="s">
        <v>379</v>
      </c>
      <c r="H64" s="44" t="s">
        <v>120</v>
      </c>
      <c r="I64" s="46">
        <v>44877</v>
      </c>
      <c r="J64" s="46">
        <v>44877</v>
      </c>
      <c r="K64" s="44" t="s">
        <v>383</v>
      </c>
      <c r="L64" s="44">
        <v>1</v>
      </c>
      <c r="M64" s="44">
        <v>15</v>
      </c>
      <c r="N64" s="44"/>
      <c r="O64" s="44"/>
      <c r="P64" s="39"/>
      <c r="Q64" s="39"/>
      <c r="R64" s="39"/>
      <c r="S64" s="44"/>
      <c r="T64" s="39">
        <v>1560000</v>
      </c>
      <c r="U64" s="39">
        <v>150000</v>
      </c>
      <c r="V64" s="39">
        <f t="shared" si="1"/>
        <v>150000</v>
      </c>
      <c r="W64" s="44"/>
      <c r="X64" s="38"/>
      <c r="Y64" s="38"/>
      <c r="Z64" s="38"/>
      <c r="AA64" s="38"/>
      <c r="AB64" s="38"/>
    </row>
    <row r="65" spans="1:28" ht="93.75" customHeight="1" x14ac:dyDescent="0.2">
      <c r="A65" s="44" t="s">
        <v>36</v>
      </c>
      <c r="B65" s="44" t="s">
        <v>35</v>
      </c>
      <c r="C65" s="44" t="s">
        <v>400</v>
      </c>
      <c r="D65" s="44">
        <v>172501</v>
      </c>
      <c r="E65" s="44" t="s">
        <v>401</v>
      </c>
      <c r="F65" s="44" t="s">
        <v>402</v>
      </c>
      <c r="G65" s="44" t="s">
        <v>376</v>
      </c>
      <c r="H65" s="44" t="s">
        <v>118</v>
      </c>
      <c r="I65" s="46">
        <v>44880</v>
      </c>
      <c r="J65" s="46">
        <v>44883</v>
      </c>
      <c r="K65" s="44" t="s">
        <v>403</v>
      </c>
      <c r="L65" s="44">
        <v>4</v>
      </c>
      <c r="M65" s="44">
        <v>10</v>
      </c>
      <c r="N65" s="44"/>
      <c r="O65" s="44" t="s">
        <v>194</v>
      </c>
      <c r="P65" s="39">
        <v>500000</v>
      </c>
      <c r="Q65" s="39">
        <v>350000</v>
      </c>
      <c r="R65" s="39">
        <v>60000</v>
      </c>
      <c r="S65" s="44"/>
      <c r="T65" s="39"/>
      <c r="U65" s="39">
        <v>150000</v>
      </c>
      <c r="V65" s="39">
        <f t="shared" si="1"/>
        <v>600000</v>
      </c>
      <c r="W65" s="44"/>
      <c r="X65" s="38"/>
      <c r="Y65" s="38"/>
      <c r="Z65" s="38"/>
      <c r="AA65" s="38"/>
      <c r="AB65" s="38"/>
    </row>
    <row r="66" spans="1:28" ht="93.75" customHeight="1" x14ac:dyDescent="0.2">
      <c r="A66" s="44" t="s">
        <v>36</v>
      </c>
      <c r="B66" s="44" t="s">
        <v>35</v>
      </c>
      <c r="C66" s="44" t="s">
        <v>404</v>
      </c>
      <c r="D66" s="44">
        <v>174429</v>
      </c>
      <c r="E66" s="44" t="s">
        <v>348</v>
      </c>
      <c r="F66" s="44" t="s">
        <v>349</v>
      </c>
      <c r="G66" s="44" t="s">
        <v>396</v>
      </c>
      <c r="H66" s="44" t="s">
        <v>380</v>
      </c>
      <c r="I66" s="46">
        <v>44882</v>
      </c>
      <c r="J66" s="46">
        <v>44883</v>
      </c>
      <c r="K66" s="44" t="s">
        <v>405</v>
      </c>
      <c r="L66" s="44">
        <v>1</v>
      </c>
      <c r="M66" s="44">
        <v>5</v>
      </c>
      <c r="N66" s="44"/>
      <c r="O66" s="44"/>
      <c r="P66" s="39"/>
      <c r="Q66" s="39"/>
      <c r="R66" s="39"/>
      <c r="S66" s="44"/>
      <c r="T66" s="39">
        <v>2620000</v>
      </c>
      <c r="U66" s="39">
        <v>150000</v>
      </c>
      <c r="V66" s="39">
        <f t="shared" si="1"/>
        <v>150000</v>
      </c>
      <c r="W66" s="44"/>
      <c r="X66" s="38"/>
      <c r="Y66" s="38"/>
      <c r="Z66" s="38"/>
      <c r="AA66" s="38"/>
      <c r="AB66" s="38"/>
    </row>
    <row r="67" spans="1:28" ht="93.75" customHeight="1" x14ac:dyDescent="0.2">
      <c r="A67" s="44" t="s">
        <v>36</v>
      </c>
      <c r="B67" s="44" t="s">
        <v>35</v>
      </c>
      <c r="C67" s="44" t="s">
        <v>407</v>
      </c>
      <c r="D67" s="44">
        <v>172505</v>
      </c>
      <c r="E67" s="44" t="s">
        <v>408</v>
      </c>
      <c r="F67" s="44" t="s">
        <v>409</v>
      </c>
      <c r="G67" s="44" t="s">
        <v>406</v>
      </c>
      <c r="H67" s="44" t="s">
        <v>120</v>
      </c>
      <c r="I67" s="46">
        <v>44887</v>
      </c>
      <c r="J67" s="46">
        <v>44890</v>
      </c>
      <c r="K67" s="44" t="s">
        <v>410</v>
      </c>
      <c r="L67" s="44">
        <v>3</v>
      </c>
      <c r="M67" s="44">
        <v>3</v>
      </c>
      <c r="N67" s="44" t="s">
        <v>254</v>
      </c>
      <c r="O67" s="44" t="s">
        <v>218</v>
      </c>
      <c r="P67" s="39">
        <v>400000</v>
      </c>
      <c r="Q67" s="39">
        <v>390000</v>
      </c>
      <c r="R67" s="39">
        <v>40000</v>
      </c>
      <c r="S67" s="44"/>
      <c r="T67" s="39"/>
      <c r="U67" s="39">
        <v>150000</v>
      </c>
      <c r="V67" s="39">
        <f t="shared" si="1"/>
        <v>450000</v>
      </c>
      <c r="W67" s="44"/>
      <c r="X67" s="38"/>
      <c r="Y67" s="38"/>
      <c r="Z67" s="38"/>
      <c r="AA67" s="38"/>
      <c r="AB67" s="38"/>
    </row>
    <row r="68" spans="1:28" ht="93.75" customHeight="1" x14ac:dyDescent="0.2">
      <c r="A68" s="44" t="s">
        <v>36</v>
      </c>
      <c r="B68" s="44" t="s">
        <v>35</v>
      </c>
      <c r="C68" s="44" t="s">
        <v>411</v>
      </c>
      <c r="D68" s="44">
        <v>172505</v>
      </c>
      <c r="E68" s="44" t="s">
        <v>408</v>
      </c>
      <c r="F68" s="44" t="s">
        <v>412</v>
      </c>
      <c r="G68" s="44" t="s">
        <v>406</v>
      </c>
      <c r="H68" s="44" t="s">
        <v>120</v>
      </c>
      <c r="I68" s="46">
        <v>44887</v>
      </c>
      <c r="J68" s="46">
        <v>44890</v>
      </c>
      <c r="K68" s="44" t="s">
        <v>413</v>
      </c>
      <c r="L68" s="44">
        <v>3</v>
      </c>
      <c r="M68" s="44">
        <v>3</v>
      </c>
      <c r="N68" s="44"/>
      <c r="O68" s="44" t="s">
        <v>194</v>
      </c>
      <c r="P68" s="39">
        <v>400000</v>
      </c>
      <c r="Q68" s="39">
        <v>390000</v>
      </c>
      <c r="R68" s="39">
        <v>40000</v>
      </c>
      <c r="S68" s="44"/>
      <c r="T68" s="39"/>
      <c r="U68" s="39">
        <v>150000</v>
      </c>
      <c r="V68" s="39">
        <f t="shared" si="1"/>
        <v>450000</v>
      </c>
      <c r="W68" s="44"/>
      <c r="X68" s="38"/>
      <c r="Y68" s="38"/>
      <c r="Z68" s="38"/>
      <c r="AA68" s="38"/>
      <c r="AB68" s="38"/>
    </row>
    <row r="69" spans="1:28" ht="93.75" customHeight="1" x14ac:dyDescent="0.2">
      <c r="A69" s="44" t="s">
        <v>36</v>
      </c>
      <c r="B69" s="44" t="s">
        <v>35</v>
      </c>
      <c r="C69" s="44" t="s">
        <v>414</v>
      </c>
      <c r="D69" s="44">
        <v>172196</v>
      </c>
      <c r="E69" s="44" t="s">
        <v>344</v>
      </c>
      <c r="F69" s="44" t="s">
        <v>415</v>
      </c>
      <c r="G69" s="44" t="s">
        <v>416</v>
      </c>
      <c r="H69" s="44" t="s">
        <v>380</v>
      </c>
      <c r="I69" s="46">
        <v>44889</v>
      </c>
      <c r="J69" s="46">
        <v>44891</v>
      </c>
      <c r="K69" s="44" t="s">
        <v>417</v>
      </c>
      <c r="L69" s="44">
        <v>3</v>
      </c>
      <c r="M69" s="44">
        <v>18</v>
      </c>
      <c r="N69" s="44"/>
      <c r="O69" s="44"/>
      <c r="P69" s="39"/>
      <c r="Q69" s="39"/>
      <c r="R69" s="39"/>
      <c r="S69" s="44"/>
      <c r="T69" s="39">
        <v>7740000</v>
      </c>
      <c r="U69" s="39">
        <v>150000</v>
      </c>
      <c r="V69" s="39">
        <f t="shared" si="1"/>
        <v>450000</v>
      </c>
      <c r="W69" s="44"/>
      <c r="X69" s="38"/>
      <c r="Y69" s="38"/>
      <c r="Z69" s="38"/>
      <c r="AA69" s="38"/>
      <c r="AB69" s="38"/>
    </row>
    <row r="70" spans="1:28" ht="93.75" customHeight="1" x14ac:dyDescent="0.2">
      <c r="A70" s="44" t="s">
        <v>36</v>
      </c>
      <c r="B70" s="44" t="s">
        <v>35</v>
      </c>
      <c r="C70" s="44" t="s">
        <v>418</v>
      </c>
      <c r="D70" s="44">
        <v>172224</v>
      </c>
      <c r="E70" s="44" t="s">
        <v>317</v>
      </c>
      <c r="F70" s="44" t="s">
        <v>318</v>
      </c>
      <c r="G70" s="44" t="s">
        <v>393</v>
      </c>
      <c r="H70" s="44" t="s">
        <v>200</v>
      </c>
      <c r="I70" s="46">
        <v>44890</v>
      </c>
      <c r="J70" s="46">
        <v>44892</v>
      </c>
      <c r="K70" s="44" t="s">
        <v>419</v>
      </c>
      <c r="L70" s="44">
        <v>3</v>
      </c>
      <c r="M70" s="44">
        <v>20</v>
      </c>
      <c r="N70" s="44"/>
      <c r="O70" s="44" t="s">
        <v>121</v>
      </c>
      <c r="P70" s="39">
        <v>400000</v>
      </c>
      <c r="Q70" s="39">
        <v>220000</v>
      </c>
      <c r="R70" s="39"/>
      <c r="S70" s="44"/>
      <c r="T70" s="39"/>
      <c r="U70" s="39">
        <v>150000</v>
      </c>
      <c r="V70" s="39">
        <f t="shared" si="1"/>
        <v>450000</v>
      </c>
      <c r="W70" s="44"/>
      <c r="X70" s="38"/>
      <c r="Y70" s="38"/>
      <c r="Z70" s="38"/>
      <c r="AA70" s="38"/>
      <c r="AB70" s="38"/>
    </row>
    <row r="71" spans="1:28" ht="93.75" customHeight="1" x14ac:dyDescent="0.2">
      <c r="A71" s="44" t="s">
        <v>36</v>
      </c>
      <c r="B71" s="44" t="s">
        <v>35</v>
      </c>
      <c r="C71" s="44" t="s">
        <v>420</v>
      </c>
      <c r="D71" s="44">
        <v>174453</v>
      </c>
      <c r="E71" s="44" t="s">
        <v>421</v>
      </c>
      <c r="F71" s="44" t="s">
        <v>422</v>
      </c>
      <c r="G71" s="44" t="s">
        <v>406</v>
      </c>
      <c r="H71" s="44" t="s">
        <v>120</v>
      </c>
      <c r="I71" s="46">
        <v>44895</v>
      </c>
      <c r="J71" s="46">
        <v>44895</v>
      </c>
      <c r="K71" s="44" t="s">
        <v>423</v>
      </c>
      <c r="L71" s="44">
        <v>1</v>
      </c>
      <c r="M71" s="44">
        <v>35</v>
      </c>
      <c r="N71" s="44" t="s">
        <v>280</v>
      </c>
      <c r="O71" s="44" t="s">
        <v>121</v>
      </c>
      <c r="P71" s="39">
        <v>100000</v>
      </c>
      <c r="Q71" s="39">
        <v>20000</v>
      </c>
      <c r="R71" s="39">
        <v>0</v>
      </c>
      <c r="S71" s="44"/>
      <c r="T71" s="39"/>
      <c r="U71" s="39">
        <v>150000</v>
      </c>
      <c r="V71" s="39">
        <f t="shared" si="1"/>
        <v>150000</v>
      </c>
      <c r="W71" s="44"/>
      <c r="X71" s="38"/>
      <c r="Y71" s="38"/>
      <c r="Z71" s="38"/>
      <c r="AA71" s="38"/>
      <c r="AB71" s="38"/>
    </row>
    <row r="72" spans="1:28" ht="93.75" customHeight="1" x14ac:dyDescent="0.2">
      <c r="A72" s="44" t="s">
        <v>36</v>
      </c>
      <c r="B72" s="44" t="s">
        <v>35</v>
      </c>
      <c r="C72" s="44" t="s">
        <v>424</v>
      </c>
      <c r="D72" s="44">
        <v>174453</v>
      </c>
      <c r="E72" s="44" t="s">
        <v>421</v>
      </c>
      <c r="F72" s="44" t="s">
        <v>425</v>
      </c>
      <c r="G72" s="44" t="s">
        <v>406</v>
      </c>
      <c r="H72" s="44" t="s">
        <v>120</v>
      </c>
      <c r="I72" s="46">
        <v>44895</v>
      </c>
      <c r="J72" s="46">
        <v>44895</v>
      </c>
      <c r="K72" s="44" t="s">
        <v>426</v>
      </c>
      <c r="L72" s="44">
        <v>1</v>
      </c>
      <c r="M72" s="44">
        <v>35</v>
      </c>
      <c r="N72" s="44"/>
      <c r="O72" s="44"/>
      <c r="P72" s="39">
        <v>0</v>
      </c>
      <c r="Q72" s="39">
        <v>0</v>
      </c>
      <c r="R72" s="39">
        <v>0</v>
      </c>
      <c r="S72" s="44"/>
      <c r="T72" s="39"/>
      <c r="U72" s="39">
        <v>150000</v>
      </c>
      <c r="V72" s="39">
        <f t="shared" si="1"/>
        <v>150000</v>
      </c>
      <c r="W72" s="44"/>
      <c r="X72" s="38"/>
      <c r="Y72" s="38"/>
      <c r="Z72" s="38"/>
      <c r="AA72" s="38"/>
      <c r="AB72" s="38"/>
    </row>
    <row r="73" spans="1:28" ht="93.75" customHeight="1" x14ac:dyDescent="0.2">
      <c r="A73" s="44" t="s">
        <v>36</v>
      </c>
      <c r="B73" s="44" t="s">
        <v>35</v>
      </c>
      <c r="C73" s="44" t="s">
        <v>427</v>
      </c>
      <c r="D73" s="44" t="s">
        <v>428</v>
      </c>
      <c r="E73" s="44" t="s">
        <v>429</v>
      </c>
      <c r="F73" s="44" t="s">
        <v>430</v>
      </c>
      <c r="G73" s="44" t="s">
        <v>406</v>
      </c>
      <c r="H73" s="44" t="s">
        <v>120</v>
      </c>
      <c r="I73" s="48">
        <v>44902</v>
      </c>
      <c r="J73" s="48">
        <v>44904</v>
      </c>
      <c r="K73" s="44" t="s">
        <v>431</v>
      </c>
      <c r="L73" s="44">
        <v>3</v>
      </c>
      <c r="M73" s="44">
        <f t="shared" ref="M73:M74" si="2">10+0</f>
        <v>10</v>
      </c>
      <c r="N73" s="44" t="s">
        <v>254</v>
      </c>
      <c r="O73" s="44" t="s">
        <v>233</v>
      </c>
      <c r="P73" s="39">
        <v>450000</v>
      </c>
      <c r="Q73" s="39">
        <v>350000</v>
      </c>
      <c r="R73" s="39">
        <v>40000</v>
      </c>
      <c r="S73" s="44"/>
      <c r="T73" s="39"/>
      <c r="U73" s="39">
        <v>150000</v>
      </c>
      <c r="V73" s="39">
        <f t="shared" si="1"/>
        <v>450000</v>
      </c>
      <c r="W73" s="44"/>
      <c r="X73" s="38"/>
      <c r="Y73" s="38"/>
      <c r="Z73" s="38"/>
      <c r="AA73" s="38"/>
      <c r="AB73" s="38"/>
    </row>
    <row r="74" spans="1:28" ht="93.75" customHeight="1" x14ac:dyDescent="0.2">
      <c r="A74" s="44" t="s">
        <v>36</v>
      </c>
      <c r="B74" s="44" t="s">
        <v>35</v>
      </c>
      <c r="C74" s="44" t="s">
        <v>432</v>
      </c>
      <c r="D74" s="44" t="s">
        <v>433</v>
      </c>
      <c r="E74" s="44" t="s">
        <v>434</v>
      </c>
      <c r="F74" s="44" t="s">
        <v>430</v>
      </c>
      <c r="G74" s="44" t="s">
        <v>406</v>
      </c>
      <c r="H74" s="44" t="s">
        <v>120</v>
      </c>
      <c r="I74" s="46">
        <v>44902</v>
      </c>
      <c r="J74" s="46">
        <v>44904</v>
      </c>
      <c r="K74" s="44" t="s">
        <v>435</v>
      </c>
      <c r="L74" s="44">
        <v>3</v>
      </c>
      <c r="M74" s="44">
        <f t="shared" si="2"/>
        <v>10</v>
      </c>
      <c r="N74" s="44"/>
      <c r="O74" s="44" t="s">
        <v>241</v>
      </c>
      <c r="P74" s="39">
        <v>450000</v>
      </c>
      <c r="Q74" s="39">
        <v>350000</v>
      </c>
      <c r="R74" s="39">
        <v>40000</v>
      </c>
      <c r="S74" s="44"/>
      <c r="T74" s="39"/>
      <c r="U74" s="39">
        <v>150000</v>
      </c>
      <c r="V74" s="39">
        <f t="shared" si="1"/>
        <v>450000</v>
      </c>
      <c r="W74" s="44"/>
      <c r="X74" s="38"/>
      <c r="Y74" s="38"/>
      <c r="Z74" s="38"/>
      <c r="AA74" s="38"/>
      <c r="AB74" s="38"/>
    </row>
    <row r="75" spans="1:28" ht="93.75" customHeight="1" x14ac:dyDescent="0.2">
      <c r="A75" s="44" t="s">
        <v>36</v>
      </c>
      <c r="B75" s="44" t="s">
        <v>35</v>
      </c>
      <c r="C75" s="44" t="s">
        <v>436</v>
      </c>
      <c r="D75" s="44">
        <v>172513</v>
      </c>
      <c r="E75" s="44" t="s">
        <v>286</v>
      </c>
      <c r="F75" s="44" t="s">
        <v>287</v>
      </c>
      <c r="G75" s="44" t="s">
        <v>437</v>
      </c>
      <c r="H75" s="44" t="s">
        <v>200</v>
      </c>
      <c r="I75" s="44" t="s">
        <v>438</v>
      </c>
      <c r="J75" s="44" t="s">
        <v>438</v>
      </c>
      <c r="K75" s="44" t="s">
        <v>439</v>
      </c>
      <c r="L75" s="44">
        <v>2</v>
      </c>
      <c r="M75" s="44">
        <f>36</f>
        <v>36</v>
      </c>
      <c r="N75" s="44"/>
      <c r="O75" s="44"/>
      <c r="P75" s="39"/>
      <c r="Q75" s="39"/>
      <c r="R75" s="39"/>
      <c r="S75" s="44"/>
      <c r="T75" s="39">
        <v>2260000</v>
      </c>
      <c r="U75" s="39">
        <v>150000</v>
      </c>
      <c r="V75" s="39">
        <f t="shared" si="1"/>
        <v>300000</v>
      </c>
      <c r="W75" s="44"/>
      <c r="X75" s="38"/>
      <c r="Y75" s="38"/>
      <c r="Z75" s="38"/>
      <c r="AA75" s="38"/>
      <c r="AB75" s="38"/>
    </row>
    <row r="76" spans="1:28" ht="93.75" customHeight="1" x14ac:dyDescent="0.2">
      <c r="A76" s="44" t="s">
        <v>36</v>
      </c>
      <c r="B76" s="44" t="s">
        <v>35</v>
      </c>
      <c r="C76" s="44" t="s">
        <v>440</v>
      </c>
      <c r="D76" s="44">
        <v>172518</v>
      </c>
      <c r="E76" s="44" t="s">
        <v>325</v>
      </c>
      <c r="F76" s="44" t="s">
        <v>326</v>
      </c>
      <c r="G76" s="44" t="s">
        <v>441</v>
      </c>
      <c r="H76" s="44" t="s">
        <v>200</v>
      </c>
      <c r="I76" s="44" t="s">
        <v>442</v>
      </c>
      <c r="J76" s="44" t="s">
        <v>442</v>
      </c>
      <c r="K76" s="44" t="s">
        <v>443</v>
      </c>
      <c r="L76" s="44">
        <v>2</v>
      </c>
      <c r="M76" s="44">
        <v>9</v>
      </c>
      <c r="N76" s="44"/>
      <c r="O76" s="44"/>
      <c r="P76" s="39"/>
      <c r="Q76" s="39"/>
      <c r="R76" s="39"/>
      <c r="S76" s="44"/>
      <c r="T76" s="39">
        <v>3400000</v>
      </c>
      <c r="U76" s="39">
        <v>150000</v>
      </c>
      <c r="V76" s="39">
        <f t="shared" si="1"/>
        <v>300000</v>
      </c>
      <c r="W76" s="44"/>
      <c r="X76" s="38"/>
      <c r="Y76" s="38"/>
      <c r="Z76" s="38"/>
      <c r="AA76" s="38"/>
      <c r="AB76" s="38"/>
    </row>
    <row r="77" spans="1:28" ht="93.75" customHeight="1" x14ac:dyDescent="0.2">
      <c r="A77" s="44" t="s">
        <v>11</v>
      </c>
      <c r="B77" s="44" t="s">
        <v>35</v>
      </c>
      <c r="C77" s="44" t="s">
        <v>444</v>
      </c>
      <c r="D77" s="44">
        <v>175137</v>
      </c>
      <c r="E77" s="44" t="s">
        <v>401</v>
      </c>
      <c r="F77" s="44" t="s">
        <v>445</v>
      </c>
      <c r="G77" s="44" t="s">
        <v>446</v>
      </c>
      <c r="H77" s="44" t="s">
        <v>115</v>
      </c>
      <c r="I77" s="49">
        <v>44833</v>
      </c>
      <c r="J77" s="46">
        <v>44833</v>
      </c>
      <c r="K77" s="44" t="s">
        <v>447</v>
      </c>
      <c r="L77" s="44">
        <v>1</v>
      </c>
      <c r="M77" s="44">
        <f t="shared" ref="M77:M78" si="3">14</f>
        <v>14</v>
      </c>
      <c r="N77" s="44"/>
      <c r="O77" s="44"/>
      <c r="P77" s="39">
        <v>0</v>
      </c>
      <c r="Q77" s="39">
        <v>0</v>
      </c>
      <c r="R77" s="39">
        <v>0</v>
      </c>
      <c r="S77" s="44"/>
      <c r="T77" s="39"/>
      <c r="U77" s="44"/>
      <c r="V77" s="44"/>
      <c r="W77" s="44"/>
      <c r="X77" s="38"/>
      <c r="Y77" s="38"/>
      <c r="Z77" s="38"/>
      <c r="AA77" s="38"/>
      <c r="AB77" s="38"/>
    </row>
    <row r="78" spans="1:28" ht="93.75" customHeight="1" x14ac:dyDescent="0.2">
      <c r="A78" s="44" t="s">
        <v>11</v>
      </c>
      <c r="B78" s="44" t="s">
        <v>35</v>
      </c>
      <c r="C78" s="44" t="s">
        <v>448</v>
      </c>
      <c r="D78" s="44">
        <v>175137</v>
      </c>
      <c r="E78" s="44" t="s">
        <v>401</v>
      </c>
      <c r="F78" s="44" t="s">
        <v>445</v>
      </c>
      <c r="G78" s="44" t="s">
        <v>446</v>
      </c>
      <c r="H78" s="44" t="s">
        <v>115</v>
      </c>
      <c r="I78" s="46">
        <v>44838</v>
      </c>
      <c r="J78" s="46">
        <v>44841</v>
      </c>
      <c r="K78" s="44" t="s">
        <v>449</v>
      </c>
      <c r="L78" s="44">
        <v>4</v>
      </c>
      <c r="M78" s="44">
        <f t="shared" si="3"/>
        <v>14</v>
      </c>
      <c r="N78" s="44"/>
      <c r="O78" s="44"/>
      <c r="P78" s="39"/>
      <c r="Q78" s="39"/>
      <c r="R78" s="39"/>
      <c r="S78" s="44"/>
      <c r="T78" s="39">
        <v>12800000</v>
      </c>
      <c r="U78" s="39">
        <v>271546</v>
      </c>
      <c r="V78" s="39">
        <f t="shared" ref="V78:V146" si="4">L78*U78</f>
        <v>1086184</v>
      </c>
      <c r="W78" s="44"/>
      <c r="X78" s="38"/>
      <c r="Y78" s="38"/>
      <c r="Z78" s="38"/>
      <c r="AA78" s="38"/>
      <c r="AB78" s="38"/>
    </row>
    <row r="79" spans="1:28" ht="93.75" customHeight="1" x14ac:dyDescent="0.2">
      <c r="A79" s="44" t="s">
        <v>11</v>
      </c>
      <c r="B79" s="44" t="s">
        <v>35</v>
      </c>
      <c r="C79" s="44" t="s">
        <v>450</v>
      </c>
      <c r="D79" s="44">
        <v>175141</v>
      </c>
      <c r="E79" s="44" t="s">
        <v>364</v>
      </c>
      <c r="F79" s="44" t="s">
        <v>451</v>
      </c>
      <c r="G79" s="44" t="s">
        <v>452</v>
      </c>
      <c r="H79" s="44" t="s">
        <v>115</v>
      </c>
      <c r="I79" s="46">
        <v>44887</v>
      </c>
      <c r="J79" s="46">
        <v>44890</v>
      </c>
      <c r="K79" s="44" t="s">
        <v>453</v>
      </c>
      <c r="L79" s="44">
        <v>4</v>
      </c>
      <c r="M79" s="44">
        <v>22</v>
      </c>
      <c r="N79" s="44"/>
      <c r="O79" s="44" t="s">
        <v>211</v>
      </c>
      <c r="P79" s="39">
        <v>400000</v>
      </c>
      <c r="Q79" s="39">
        <v>180000</v>
      </c>
      <c r="R79" s="39">
        <v>75000</v>
      </c>
      <c r="S79" s="44"/>
      <c r="T79" s="39"/>
      <c r="U79" s="39">
        <v>271546</v>
      </c>
      <c r="V79" s="39">
        <f t="shared" si="4"/>
        <v>1086184</v>
      </c>
      <c r="W79" s="44"/>
      <c r="X79" s="38"/>
      <c r="Y79" s="38"/>
      <c r="Z79" s="38"/>
      <c r="AA79" s="38"/>
      <c r="AB79" s="38"/>
    </row>
    <row r="80" spans="1:28" ht="93.75" customHeight="1" x14ac:dyDescent="0.2">
      <c r="A80" s="44" t="s">
        <v>11</v>
      </c>
      <c r="B80" s="44" t="s">
        <v>35</v>
      </c>
      <c r="C80" s="44" t="s">
        <v>454</v>
      </c>
      <c r="D80" s="44">
        <v>175131</v>
      </c>
      <c r="E80" s="44" t="s">
        <v>455</v>
      </c>
      <c r="F80" s="44" t="s">
        <v>456</v>
      </c>
      <c r="G80" s="44" t="s">
        <v>457</v>
      </c>
      <c r="H80" s="44" t="s">
        <v>115</v>
      </c>
      <c r="I80" s="46">
        <v>44861</v>
      </c>
      <c r="J80" s="46">
        <v>44863</v>
      </c>
      <c r="K80" s="44" t="s">
        <v>458</v>
      </c>
      <c r="L80" s="44">
        <v>3</v>
      </c>
      <c r="M80" s="44">
        <f>15</f>
        <v>15</v>
      </c>
      <c r="N80" s="44"/>
      <c r="O80" s="44"/>
      <c r="P80" s="39"/>
      <c r="Q80" s="39"/>
      <c r="R80" s="39"/>
      <c r="S80" s="44"/>
      <c r="T80" s="39">
        <v>7260000</v>
      </c>
      <c r="U80" s="39">
        <v>444947</v>
      </c>
      <c r="V80" s="39">
        <f t="shared" si="4"/>
        <v>1334841</v>
      </c>
      <c r="W80" s="44"/>
      <c r="X80" s="38"/>
      <c r="Y80" s="38"/>
      <c r="Z80" s="38"/>
      <c r="AA80" s="38"/>
      <c r="AB80" s="38"/>
    </row>
    <row r="81" spans="1:28" ht="93.75" customHeight="1" x14ac:dyDescent="0.2">
      <c r="A81" s="44" t="s">
        <v>11</v>
      </c>
      <c r="B81" s="44" t="s">
        <v>35</v>
      </c>
      <c r="C81" s="44" t="s">
        <v>459</v>
      </c>
      <c r="D81" s="44">
        <v>175000</v>
      </c>
      <c r="E81" s="44" t="s">
        <v>344</v>
      </c>
      <c r="F81" s="44" t="s">
        <v>415</v>
      </c>
      <c r="G81" s="44" t="s">
        <v>460</v>
      </c>
      <c r="H81" s="44" t="s">
        <v>115</v>
      </c>
      <c r="I81" s="46">
        <v>44867</v>
      </c>
      <c r="J81" s="46">
        <v>44868</v>
      </c>
      <c r="K81" s="44" t="s">
        <v>461</v>
      </c>
      <c r="L81" s="44">
        <v>2</v>
      </c>
      <c r="M81" s="44">
        <v>28</v>
      </c>
      <c r="N81" s="44"/>
      <c r="O81" s="44"/>
      <c r="P81" s="39"/>
      <c r="Q81" s="39"/>
      <c r="R81" s="39"/>
      <c r="S81" s="44"/>
      <c r="T81" s="39">
        <v>2440000</v>
      </c>
      <c r="U81" s="39">
        <v>150000</v>
      </c>
      <c r="V81" s="39">
        <f t="shared" si="4"/>
        <v>300000</v>
      </c>
      <c r="W81" s="44"/>
      <c r="X81" s="38"/>
      <c r="Y81" s="38"/>
      <c r="Z81" s="38"/>
      <c r="AA81" s="38"/>
      <c r="AB81" s="38"/>
    </row>
    <row r="82" spans="1:28" ht="93.75" customHeight="1" x14ac:dyDescent="0.2">
      <c r="A82" s="44" t="s">
        <v>11</v>
      </c>
      <c r="B82" s="44" t="s">
        <v>35</v>
      </c>
      <c r="C82" s="44" t="s">
        <v>459</v>
      </c>
      <c r="D82" s="44">
        <v>174999</v>
      </c>
      <c r="E82" s="44" t="s">
        <v>344</v>
      </c>
      <c r="F82" s="44" t="s">
        <v>415</v>
      </c>
      <c r="G82" s="44" t="s">
        <v>462</v>
      </c>
      <c r="H82" s="44" t="s">
        <v>200</v>
      </c>
      <c r="I82" s="46">
        <v>44868</v>
      </c>
      <c r="J82" s="46">
        <v>44869</v>
      </c>
      <c r="K82" s="44" t="s">
        <v>463</v>
      </c>
      <c r="L82" s="44">
        <v>2</v>
      </c>
      <c r="M82" s="44">
        <v>32</v>
      </c>
      <c r="N82" s="44"/>
      <c r="O82" s="44"/>
      <c r="P82" s="39"/>
      <c r="Q82" s="39"/>
      <c r="R82" s="39"/>
      <c r="S82" s="44"/>
      <c r="T82" s="39">
        <v>2000000</v>
      </c>
      <c r="U82" s="39">
        <v>150000</v>
      </c>
      <c r="V82" s="39">
        <f t="shared" si="4"/>
        <v>300000</v>
      </c>
      <c r="W82" s="44"/>
      <c r="X82" s="38"/>
      <c r="Y82" s="38"/>
      <c r="Z82" s="38"/>
      <c r="AA82" s="38"/>
      <c r="AB82" s="38"/>
    </row>
    <row r="83" spans="1:28" ht="93.75" customHeight="1" x14ac:dyDescent="0.2">
      <c r="A83" s="44" t="s">
        <v>11</v>
      </c>
      <c r="B83" s="44" t="s">
        <v>35</v>
      </c>
      <c r="C83" s="44" t="s">
        <v>464</v>
      </c>
      <c r="D83" s="44">
        <v>175108</v>
      </c>
      <c r="E83" s="44" t="s">
        <v>261</v>
      </c>
      <c r="F83" s="44" t="s">
        <v>465</v>
      </c>
      <c r="G83" s="44" t="s">
        <v>466</v>
      </c>
      <c r="H83" s="44" t="s">
        <v>120</v>
      </c>
      <c r="I83" s="46">
        <v>44889</v>
      </c>
      <c r="J83" s="46">
        <v>44890</v>
      </c>
      <c r="K83" s="44" t="s">
        <v>467</v>
      </c>
      <c r="L83" s="44">
        <v>2</v>
      </c>
      <c r="M83" s="44">
        <v>14</v>
      </c>
      <c r="N83" s="44"/>
      <c r="O83" s="44"/>
      <c r="P83" s="39"/>
      <c r="Q83" s="39"/>
      <c r="R83" s="39"/>
      <c r="S83" s="44"/>
      <c r="T83" s="39">
        <v>3280000</v>
      </c>
      <c r="U83" s="39">
        <v>150000</v>
      </c>
      <c r="V83" s="39">
        <f t="shared" si="4"/>
        <v>300000</v>
      </c>
      <c r="W83" s="44"/>
      <c r="X83" s="38"/>
      <c r="Y83" s="38"/>
      <c r="Z83" s="38"/>
      <c r="AA83" s="38"/>
      <c r="AB83" s="38"/>
    </row>
    <row r="84" spans="1:28" ht="93.75" customHeight="1" x14ac:dyDescent="0.2">
      <c r="A84" s="44" t="s">
        <v>11</v>
      </c>
      <c r="B84" s="44" t="s">
        <v>35</v>
      </c>
      <c r="C84" s="44" t="s">
        <v>468</v>
      </c>
      <c r="D84" s="44">
        <v>175092</v>
      </c>
      <c r="E84" s="44" t="s">
        <v>359</v>
      </c>
      <c r="F84" s="44" t="s">
        <v>360</v>
      </c>
      <c r="G84" s="44" t="s">
        <v>469</v>
      </c>
      <c r="H84" s="44" t="s">
        <v>115</v>
      </c>
      <c r="I84" s="44" t="s">
        <v>470</v>
      </c>
      <c r="J84" s="44"/>
      <c r="K84" s="44" t="s">
        <v>471</v>
      </c>
      <c r="L84" s="44"/>
      <c r="M84" s="44">
        <v>20</v>
      </c>
      <c r="N84" s="44" t="s">
        <v>472</v>
      </c>
      <c r="O84" s="44"/>
      <c r="P84" s="39"/>
      <c r="Q84" s="39"/>
      <c r="R84" s="39"/>
      <c r="S84" s="44"/>
      <c r="T84" s="39"/>
      <c r="U84" s="39">
        <v>150000</v>
      </c>
      <c r="V84" s="39">
        <f t="shared" si="4"/>
        <v>0</v>
      </c>
      <c r="W84" s="44"/>
      <c r="X84" s="38"/>
      <c r="Y84" s="38"/>
      <c r="Z84" s="38"/>
      <c r="AA84" s="38"/>
      <c r="AB84" s="38"/>
    </row>
    <row r="85" spans="1:28" ht="93.75" customHeight="1" x14ac:dyDescent="0.2">
      <c r="A85" s="44" t="s">
        <v>11</v>
      </c>
      <c r="B85" s="44" t="s">
        <v>35</v>
      </c>
      <c r="C85" s="44" t="s">
        <v>473</v>
      </c>
      <c r="D85" s="44">
        <v>175090</v>
      </c>
      <c r="E85" s="44" t="s">
        <v>312</v>
      </c>
      <c r="F85" s="44" t="s">
        <v>474</v>
      </c>
      <c r="G85" s="44" t="s">
        <v>469</v>
      </c>
      <c r="H85" s="44" t="s">
        <v>115</v>
      </c>
      <c r="I85" s="44" t="s">
        <v>470</v>
      </c>
      <c r="J85" s="44"/>
      <c r="K85" s="44" t="s">
        <v>475</v>
      </c>
      <c r="L85" s="44"/>
      <c r="M85" s="44">
        <v>17</v>
      </c>
      <c r="N85" s="44" t="s">
        <v>476</v>
      </c>
      <c r="O85" s="44"/>
      <c r="P85" s="39"/>
      <c r="Q85" s="39"/>
      <c r="R85" s="39"/>
      <c r="S85" s="44"/>
      <c r="T85" s="39"/>
      <c r="U85" s="39">
        <v>150000</v>
      </c>
      <c r="V85" s="39">
        <f t="shared" si="4"/>
        <v>0</v>
      </c>
      <c r="W85" s="44"/>
      <c r="X85" s="38"/>
      <c r="Y85" s="38"/>
      <c r="Z85" s="38"/>
      <c r="AA85" s="38"/>
      <c r="AB85" s="38"/>
    </row>
    <row r="86" spans="1:28" ht="93.75" customHeight="1" x14ac:dyDescent="0.2">
      <c r="A86" s="44" t="s">
        <v>11</v>
      </c>
      <c r="B86" s="44" t="s">
        <v>35</v>
      </c>
      <c r="C86" s="44" t="s">
        <v>477</v>
      </c>
      <c r="D86" s="44">
        <v>175140</v>
      </c>
      <c r="E86" s="44" t="s">
        <v>408</v>
      </c>
      <c r="F86" s="44" t="s">
        <v>478</v>
      </c>
      <c r="G86" s="44" t="s">
        <v>479</v>
      </c>
      <c r="H86" s="44" t="s">
        <v>115</v>
      </c>
      <c r="I86" s="44" t="s">
        <v>470</v>
      </c>
      <c r="J86" s="44"/>
      <c r="K86" s="44" t="s">
        <v>480</v>
      </c>
      <c r="L86" s="44"/>
      <c r="M86" s="44">
        <v>17</v>
      </c>
      <c r="N86" s="44" t="s">
        <v>472</v>
      </c>
      <c r="O86" s="44"/>
      <c r="P86" s="39"/>
      <c r="Q86" s="39"/>
      <c r="R86" s="39"/>
      <c r="S86" s="44"/>
      <c r="T86" s="39"/>
      <c r="U86" s="39">
        <v>150000</v>
      </c>
      <c r="V86" s="39">
        <f t="shared" si="4"/>
        <v>0</v>
      </c>
      <c r="W86" s="44"/>
      <c r="X86" s="38"/>
      <c r="Y86" s="38"/>
      <c r="Z86" s="38"/>
      <c r="AA86" s="38"/>
      <c r="AB86" s="38"/>
    </row>
    <row r="87" spans="1:28" ht="93.75" customHeight="1" x14ac:dyDescent="0.2">
      <c r="A87" s="44" t="s">
        <v>11</v>
      </c>
      <c r="B87" s="44" t="s">
        <v>35</v>
      </c>
      <c r="C87" s="44" t="s">
        <v>481</v>
      </c>
      <c r="D87" s="44">
        <v>175223</v>
      </c>
      <c r="E87" s="44" t="s">
        <v>317</v>
      </c>
      <c r="F87" s="44" t="s">
        <v>318</v>
      </c>
      <c r="G87" s="44" t="s">
        <v>479</v>
      </c>
      <c r="H87" s="44" t="s">
        <v>115</v>
      </c>
      <c r="I87" s="44" t="s">
        <v>470</v>
      </c>
      <c r="J87" s="44"/>
      <c r="K87" s="44" t="s">
        <v>482</v>
      </c>
      <c r="L87" s="44"/>
      <c r="M87" s="44">
        <v>14</v>
      </c>
      <c r="N87" s="44" t="s">
        <v>472</v>
      </c>
      <c r="O87" s="44"/>
      <c r="P87" s="39"/>
      <c r="Q87" s="39"/>
      <c r="R87" s="39"/>
      <c r="S87" s="44"/>
      <c r="T87" s="39"/>
      <c r="U87" s="39">
        <v>578425</v>
      </c>
      <c r="V87" s="39">
        <f t="shared" si="4"/>
        <v>0</v>
      </c>
      <c r="W87" s="44"/>
      <c r="X87" s="38"/>
      <c r="Y87" s="38"/>
      <c r="Z87" s="38"/>
      <c r="AA87" s="38"/>
      <c r="AB87" s="38"/>
    </row>
    <row r="88" spans="1:28" ht="93.75" customHeight="1" x14ac:dyDescent="0.2">
      <c r="A88" s="44" t="s">
        <v>11</v>
      </c>
      <c r="B88" s="44" t="s">
        <v>35</v>
      </c>
      <c r="C88" s="44" t="s">
        <v>483</v>
      </c>
      <c r="D88" s="44">
        <v>175122</v>
      </c>
      <c r="E88" s="44" t="s">
        <v>299</v>
      </c>
      <c r="F88" s="44" t="s">
        <v>300</v>
      </c>
      <c r="G88" s="44" t="s">
        <v>484</v>
      </c>
      <c r="H88" s="44" t="s">
        <v>115</v>
      </c>
      <c r="I88" s="44"/>
      <c r="J88" s="44"/>
      <c r="K88" s="44" t="s">
        <v>485</v>
      </c>
      <c r="L88" s="44">
        <v>1</v>
      </c>
      <c r="M88" s="44">
        <v>23</v>
      </c>
      <c r="N88" s="44" t="s">
        <v>476</v>
      </c>
      <c r="O88" s="44"/>
      <c r="P88" s="39"/>
      <c r="Q88" s="39"/>
      <c r="R88" s="39"/>
      <c r="S88" s="44"/>
      <c r="T88" s="39"/>
      <c r="U88" s="39">
        <v>150000</v>
      </c>
      <c r="V88" s="39">
        <f t="shared" si="4"/>
        <v>150000</v>
      </c>
      <c r="W88" s="44"/>
      <c r="X88" s="38"/>
      <c r="Y88" s="38"/>
      <c r="Z88" s="38"/>
      <c r="AA88" s="38"/>
      <c r="AB88" s="38"/>
    </row>
    <row r="89" spans="1:28" ht="93.75" customHeight="1" x14ac:dyDescent="0.2">
      <c r="A89" s="44" t="s">
        <v>29</v>
      </c>
      <c r="B89" s="44" t="s">
        <v>35</v>
      </c>
      <c r="C89" s="44" t="s">
        <v>486</v>
      </c>
      <c r="D89" s="44">
        <v>173419</v>
      </c>
      <c r="E89" s="44" t="s">
        <v>487</v>
      </c>
      <c r="F89" s="44" t="s">
        <v>488</v>
      </c>
      <c r="G89" s="44" t="s">
        <v>489</v>
      </c>
      <c r="H89" s="44" t="s">
        <v>118</v>
      </c>
      <c r="I89" s="46">
        <v>44867</v>
      </c>
      <c r="J89" s="46">
        <v>44869</v>
      </c>
      <c r="K89" s="44" t="s">
        <v>490</v>
      </c>
      <c r="L89" s="44">
        <v>3</v>
      </c>
      <c r="M89" s="44">
        <v>6</v>
      </c>
      <c r="N89" s="44" t="s">
        <v>254</v>
      </c>
      <c r="O89" s="44"/>
      <c r="P89" s="39"/>
      <c r="Q89" s="39"/>
      <c r="R89" s="39"/>
      <c r="S89" s="44"/>
      <c r="T89" s="39">
        <v>5370000</v>
      </c>
      <c r="U89" s="39">
        <v>150000</v>
      </c>
      <c r="V89" s="39">
        <f t="shared" si="4"/>
        <v>450000</v>
      </c>
      <c r="W89" s="44"/>
      <c r="X89" s="38"/>
      <c r="Y89" s="38"/>
      <c r="Z89" s="38"/>
      <c r="AA89" s="38"/>
      <c r="AB89" s="38"/>
    </row>
    <row r="90" spans="1:28" ht="93.75" customHeight="1" x14ac:dyDescent="0.2">
      <c r="A90" s="44" t="s">
        <v>29</v>
      </c>
      <c r="B90" s="44" t="s">
        <v>35</v>
      </c>
      <c r="C90" s="44" t="s">
        <v>491</v>
      </c>
      <c r="D90" s="44">
        <v>172688</v>
      </c>
      <c r="E90" s="44" t="s">
        <v>356</v>
      </c>
      <c r="F90" s="44" t="s">
        <v>355</v>
      </c>
      <c r="G90" s="44" t="s">
        <v>492</v>
      </c>
      <c r="H90" s="44" t="s">
        <v>118</v>
      </c>
      <c r="I90" s="46">
        <v>44873</v>
      </c>
      <c r="J90" s="46">
        <v>44876</v>
      </c>
      <c r="K90" s="44" t="s">
        <v>493</v>
      </c>
      <c r="L90" s="44">
        <v>4</v>
      </c>
      <c r="M90" s="44">
        <v>26</v>
      </c>
      <c r="N90" s="44" t="s">
        <v>254</v>
      </c>
      <c r="O90" s="44"/>
      <c r="P90" s="39"/>
      <c r="Q90" s="39"/>
      <c r="R90" s="39"/>
      <c r="S90" s="44"/>
      <c r="T90" s="39">
        <v>10160000</v>
      </c>
      <c r="U90" s="39">
        <v>150000</v>
      </c>
      <c r="V90" s="39">
        <f t="shared" si="4"/>
        <v>600000</v>
      </c>
      <c r="W90" s="44"/>
      <c r="X90" s="38"/>
      <c r="Y90" s="38"/>
      <c r="Z90" s="38"/>
      <c r="AA90" s="38"/>
      <c r="AB90" s="38"/>
    </row>
    <row r="91" spans="1:28" ht="93.75" customHeight="1" x14ac:dyDescent="0.2">
      <c r="A91" s="44" t="s">
        <v>29</v>
      </c>
      <c r="B91" s="44" t="s">
        <v>35</v>
      </c>
      <c r="C91" s="44" t="s">
        <v>494</v>
      </c>
      <c r="D91" s="44">
        <v>172445</v>
      </c>
      <c r="E91" s="44" t="s">
        <v>352</v>
      </c>
      <c r="F91" s="44" t="s">
        <v>353</v>
      </c>
      <c r="G91" s="44" t="s">
        <v>495</v>
      </c>
      <c r="H91" s="44" t="s">
        <v>120</v>
      </c>
      <c r="I91" s="46">
        <v>44873</v>
      </c>
      <c r="J91" s="46">
        <v>44873</v>
      </c>
      <c r="K91" s="44" t="s">
        <v>496</v>
      </c>
      <c r="L91" s="44">
        <v>1</v>
      </c>
      <c r="M91" s="44">
        <v>18</v>
      </c>
      <c r="N91" s="53"/>
      <c r="O91" s="44"/>
      <c r="P91" s="39"/>
      <c r="Q91" s="39"/>
      <c r="R91" s="39"/>
      <c r="S91" s="44"/>
      <c r="T91" s="39">
        <v>2940000</v>
      </c>
      <c r="U91" s="39">
        <v>150000</v>
      </c>
      <c r="V91" s="39">
        <f t="shared" si="4"/>
        <v>150000</v>
      </c>
      <c r="W91" s="44"/>
      <c r="X91" s="38"/>
      <c r="Y91" s="38"/>
      <c r="Z91" s="38"/>
      <c r="AA91" s="38"/>
      <c r="AB91" s="38"/>
    </row>
    <row r="92" spans="1:28" ht="93.75" customHeight="1" x14ac:dyDescent="0.2">
      <c r="A92" s="44" t="s">
        <v>29</v>
      </c>
      <c r="B92" s="44" t="s">
        <v>35</v>
      </c>
      <c r="C92" s="44" t="s">
        <v>497</v>
      </c>
      <c r="D92" s="44">
        <v>172812</v>
      </c>
      <c r="E92" s="44" t="s">
        <v>408</v>
      </c>
      <c r="F92" s="44" t="s">
        <v>409</v>
      </c>
      <c r="G92" s="44" t="s">
        <v>489</v>
      </c>
      <c r="H92" s="44" t="s">
        <v>118</v>
      </c>
      <c r="I92" s="46">
        <v>44873</v>
      </c>
      <c r="J92" s="46">
        <v>44876</v>
      </c>
      <c r="K92" s="44" t="s">
        <v>784</v>
      </c>
      <c r="L92" s="44">
        <v>4</v>
      </c>
      <c r="M92" s="44">
        <v>10</v>
      </c>
      <c r="N92" s="44" t="s">
        <v>254</v>
      </c>
      <c r="O92" s="44" t="s">
        <v>194</v>
      </c>
      <c r="P92" s="39">
        <v>550000</v>
      </c>
      <c r="Q92" s="39">
        <v>390000</v>
      </c>
      <c r="R92" s="39">
        <v>60000</v>
      </c>
      <c r="S92" s="44"/>
      <c r="T92" s="39"/>
      <c r="U92" s="39">
        <v>150000</v>
      </c>
      <c r="V92" s="39">
        <f t="shared" si="4"/>
        <v>600000</v>
      </c>
      <c r="W92" s="44"/>
      <c r="X92" s="38"/>
      <c r="Y92" s="38"/>
      <c r="Z92" s="38"/>
      <c r="AA92" s="38"/>
      <c r="AB92" s="38"/>
    </row>
    <row r="93" spans="1:28" ht="93.75" customHeight="1" x14ac:dyDescent="0.2">
      <c r="A93" s="44" t="s">
        <v>29</v>
      </c>
      <c r="B93" s="44" t="s">
        <v>35</v>
      </c>
      <c r="C93" s="44" t="s">
        <v>311</v>
      </c>
      <c r="D93" s="44">
        <v>172770</v>
      </c>
      <c r="E93" s="44" t="s">
        <v>312</v>
      </c>
      <c r="F93" s="44" t="s">
        <v>498</v>
      </c>
      <c r="G93" s="44" t="s">
        <v>499</v>
      </c>
      <c r="H93" s="44" t="s">
        <v>118</v>
      </c>
      <c r="I93" s="46">
        <v>44876</v>
      </c>
      <c r="J93" s="46">
        <v>44876</v>
      </c>
      <c r="K93" s="44" t="s">
        <v>500</v>
      </c>
      <c r="L93" s="44">
        <v>1</v>
      </c>
      <c r="M93" s="44">
        <v>6</v>
      </c>
      <c r="N93" s="44" t="s">
        <v>254</v>
      </c>
      <c r="O93" s="44"/>
      <c r="P93" s="39"/>
      <c r="Q93" s="39"/>
      <c r="R93" s="39"/>
      <c r="S93" s="44"/>
      <c r="T93" s="39">
        <v>620000</v>
      </c>
      <c r="U93" s="39">
        <v>150000</v>
      </c>
      <c r="V93" s="39">
        <f t="shared" si="4"/>
        <v>150000</v>
      </c>
      <c r="W93" s="44"/>
      <c r="X93" s="38"/>
      <c r="Y93" s="38"/>
      <c r="Z93" s="38"/>
      <c r="AA93" s="38"/>
      <c r="AB93" s="38"/>
    </row>
    <row r="94" spans="1:28" ht="93.75" customHeight="1" x14ac:dyDescent="0.2">
      <c r="A94" s="44" t="s">
        <v>29</v>
      </c>
      <c r="B94" s="44" t="s">
        <v>35</v>
      </c>
      <c r="C94" s="44" t="s">
        <v>501</v>
      </c>
      <c r="D94" s="44">
        <v>173417</v>
      </c>
      <c r="E94" s="44" t="s">
        <v>421</v>
      </c>
      <c r="F94" s="44" t="s">
        <v>422</v>
      </c>
      <c r="G94" s="44" t="s">
        <v>502</v>
      </c>
      <c r="H94" s="44" t="s">
        <v>200</v>
      </c>
      <c r="I94" s="46">
        <v>44876</v>
      </c>
      <c r="J94" s="46">
        <v>44877</v>
      </c>
      <c r="K94" s="44" t="s">
        <v>503</v>
      </c>
      <c r="L94" s="44">
        <v>2</v>
      </c>
      <c r="M94" s="44">
        <v>14</v>
      </c>
      <c r="N94" s="44" t="s">
        <v>254</v>
      </c>
      <c r="O94" s="44"/>
      <c r="P94" s="39"/>
      <c r="Q94" s="39"/>
      <c r="R94" s="39"/>
      <c r="S94" s="44"/>
      <c r="T94" s="39">
        <v>1810000</v>
      </c>
      <c r="U94" s="39">
        <v>150000</v>
      </c>
      <c r="V94" s="39">
        <f t="shared" si="4"/>
        <v>300000</v>
      </c>
      <c r="W94" s="44"/>
      <c r="X94" s="38"/>
      <c r="Y94" s="38"/>
      <c r="Z94" s="38"/>
      <c r="AA94" s="38"/>
      <c r="AB94" s="38"/>
    </row>
    <row r="95" spans="1:28" ht="93.75" customHeight="1" x14ac:dyDescent="0.2">
      <c r="A95" s="44" t="s">
        <v>29</v>
      </c>
      <c r="B95" s="44" t="s">
        <v>35</v>
      </c>
      <c r="C95" s="44" t="s">
        <v>504</v>
      </c>
      <c r="D95" s="44">
        <v>172788</v>
      </c>
      <c r="E95" s="44" t="s">
        <v>307</v>
      </c>
      <c r="F95" s="44" t="s">
        <v>308</v>
      </c>
      <c r="G95" s="44" t="s">
        <v>492</v>
      </c>
      <c r="H95" s="44" t="s">
        <v>118</v>
      </c>
      <c r="I95" s="46">
        <v>44877</v>
      </c>
      <c r="J95" s="46">
        <v>44880</v>
      </c>
      <c r="K95" s="44" t="s">
        <v>505</v>
      </c>
      <c r="L95" s="44">
        <v>3</v>
      </c>
      <c r="M95" s="44">
        <v>13</v>
      </c>
      <c r="N95" s="44" t="s">
        <v>254</v>
      </c>
      <c r="O95" s="44"/>
      <c r="P95" s="39"/>
      <c r="Q95" s="39"/>
      <c r="R95" s="39"/>
      <c r="S95" s="44"/>
      <c r="T95" s="39">
        <v>3900000</v>
      </c>
      <c r="U95" s="39">
        <v>150000</v>
      </c>
      <c r="V95" s="39">
        <f t="shared" si="4"/>
        <v>450000</v>
      </c>
      <c r="W95" s="44"/>
      <c r="X95" s="38"/>
      <c r="Y95" s="38"/>
      <c r="Z95" s="38"/>
      <c r="AA95" s="38"/>
      <c r="AB95" s="38"/>
    </row>
    <row r="96" spans="1:28" ht="93.75" customHeight="1" x14ac:dyDescent="0.2">
      <c r="A96" s="44" t="s">
        <v>29</v>
      </c>
      <c r="B96" s="44" t="s">
        <v>35</v>
      </c>
      <c r="C96" s="44" t="s">
        <v>506</v>
      </c>
      <c r="D96" s="44">
        <v>172750</v>
      </c>
      <c r="E96" s="44" t="s">
        <v>344</v>
      </c>
      <c r="F96" s="44" t="s">
        <v>345</v>
      </c>
      <c r="G96" s="44" t="s">
        <v>492</v>
      </c>
      <c r="H96" s="44" t="s">
        <v>118</v>
      </c>
      <c r="I96" s="46">
        <v>44885</v>
      </c>
      <c r="J96" s="46">
        <v>44888</v>
      </c>
      <c r="K96" s="44" t="s">
        <v>507</v>
      </c>
      <c r="L96" s="44">
        <v>3</v>
      </c>
      <c r="M96" s="44">
        <v>18</v>
      </c>
      <c r="N96" s="44" t="s">
        <v>254</v>
      </c>
      <c r="O96" s="44" t="s">
        <v>218</v>
      </c>
      <c r="P96" s="39">
        <v>150000</v>
      </c>
      <c r="Q96" s="39">
        <v>82000</v>
      </c>
      <c r="R96" s="39">
        <v>20000</v>
      </c>
      <c r="S96" s="44"/>
      <c r="T96" s="39"/>
      <c r="U96" s="39">
        <v>150000</v>
      </c>
      <c r="V96" s="39">
        <f t="shared" si="4"/>
        <v>450000</v>
      </c>
      <c r="W96" s="44"/>
      <c r="X96" s="38"/>
      <c r="Y96" s="38"/>
      <c r="Z96" s="38"/>
      <c r="AA96" s="38"/>
      <c r="AB96" s="38"/>
    </row>
    <row r="97" spans="1:28" ht="93.75" customHeight="1" x14ac:dyDescent="0.2">
      <c r="A97" s="44" t="s">
        <v>29</v>
      </c>
      <c r="B97" s="44" t="s">
        <v>35</v>
      </c>
      <c r="C97" s="44" t="s">
        <v>508</v>
      </c>
      <c r="D97" s="44">
        <v>172791</v>
      </c>
      <c r="E97" s="44" t="s">
        <v>321</v>
      </c>
      <c r="F97" s="44" t="s">
        <v>322</v>
      </c>
      <c r="G97" s="44" t="s">
        <v>509</v>
      </c>
      <c r="H97" s="44" t="s">
        <v>118</v>
      </c>
      <c r="I97" s="46">
        <v>44886</v>
      </c>
      <c r="J97" s="46">
        <v>44887</v>
      </c>
      <c r="K97" s="44" t="s">
        <v>510</v>
      </c>
      <c r="L97" s="44">
        <v>2</v>
      </c>
      <c r="M97" s="44">
        <v>13</v>
      </c>
      <c r="N97" s="53"/>
      <c r="O97" s="44"/>
      <c r="P97" s="39"/>
      <c r="Q97" s="39"/>
      <c r="R97" s="39"/>
      <c r="S97" s="44"/>
      <c r="T97" s="39">
        <v>4120000</v>
      </c>
      <c r="U97" s="39">
        <v>150000</v>
      </c>
      <c r="V97" s="39">
        <f t="shared" si="4"/>
        <v>300000</v>
      </c>
      <c r="W97" s="44"/>
      <c r="X97" s="38"/>
      <c r="Y97" s="38"/>
      <c r="Z97" s="38"/>
      <c r="AA97" s="38"/>
      <c r="AB97" s="38"/>
    </row>
    <row r="98" spans="1:28" ht="93.75" customHeight="1" x14ac:dyDescent="0.2">
      <c r="A98" s="44" t="s">
        <v>29</v>
      </c>
      <c r="B98" s="44" t="s">
        <v>35</v>
      </c>
      <c r="C98" s="44" t="s">
        <v>511</v>
      </c>
      <c r="D98" s="44">
        <v>172715</v>
      </c>
      <c r="E98" s="44" t="s">
        <v>332</v>
      </c>
      <c r="F98" s="44" t="s">
        <v>158</v>
      </c>
      <c r="G98" s="44" t="s">
        <v>495</v>
      </c>
      <c r="H98" s="44" t="s">
        <v>120</v>
      </c>
      <c r="I98" s="46">
        <v>44886</v>
      </c>
      <c r="J98" s="46">
        <v>44887</v>
      </c>
      <c r="K98" s="44" t="s">
        <v>512</v>
      </c>
      <c r="L98" s="44">
        <v>2</v>
      </c>
      <c r="M98" s="44">
        <v>18</v>
      </c>
      <c r="N98" s="53"/>
      <c r="O98" s="44" t="s">
        <v>140</v>
      </c>
      <c r="P98" s="39">
        <v>150000</v>
      </c>
      <c r="Q98" s="39">
        <v>41000</v>
      </c>
      <c r="R98" s="39">
        <v>10000</v>
      </c>
      <c r="S98" s="44"/>
      <c r="T98" s="39"/>
      <c r="U98" s="39">
        <v>150000</v>
      </c>
      <c r="V98" s="39">
        <f t="shared" si="4"/>
        <v>300000</v>
      </c>
      <c r="W98" s="44"/>
      <c r="X98" s="38"/>
      <c r="Y98" s="38"/>
      <c r="Z98" s="38"/>
      <c r="AA98" s="38"/>
      <c r="AB98" s="38"/>
    </row>
    <row r="99" spans="1:28" ht="93.75" customHeight="1" x14ac:dyDescent="0.2">
      <c r="A99" s="44" t="s">
        <v>29</v>
      </c>
      <c r="B99" s="44" t="s">
        <v>35</v>
      </c>
      <c r="C99" s="44" t="s">
        <v>513</v>
      </c>
      <c r="D99" s="44">
        <v>173486</v>
      </c>
      <c r="E99" s="44" t="s">
        <v>276</v>
      </c>
      <c r="F99" s="44" t="s">
        <v>277</v>
      </c>
      <c r="G99" s="44" t="s">
        <v>514</v>
      </c>
      <c r="H99" s="44" t="s">
        <v>120</v>
      </c>
      <c r="I99" s="46">
        <v>44887</v>
      </c>
      <c r="J99" s="46">
        <v>44889</v>
      </c>
      <c r="K99" s="44" t="s">
        <v>515</v>
      </c>
      <c r="L99" s="44">
        <v>3</v>
      </c>
      <c r="M99" s="44">
        <v>8</v>
      </c>
      <c r="N99" s="44" t="s">
        <v>254</v>
      </c>
      <c r="O99" s="44"/>
      <c r="P99" s="39"/>
      <c r="Q99" s="39"/>
      <c r="R99" s="39"/>
      <c r="S99" s="44"/>
      <c r="T99" s="39">
        <v>9600000</v>
      </c>
      <c r="U99" s="39">
        <v>150000</v>
      </c>
      <c r="V99" s="39">
        <f t="shared" si="4"/>
        <v>450000</v>
      </c>
      <c r="W99" s="44"/>
      <c r="X99" s="38"/>
      <c r="Y99" s="38"/>
      <c r="Z99" s="38"/>
      <c r="AA99" s="38"/>
      <c r="AB99" s="38"/>
    </row>
    <row r="100" spans="1:28" ht="93.75" customHeight="1" x14ac:dyDescent="0.2">
      <c r="A100" s="44" t="s">
        <v>29</v>
      </c>
      <c r="B100" s="44" t="s">
        <v>35</v>
      </c>
      <c r="C100" s="44" t="s">
        <v>516</v>
      </c>
      <c r="D100" s="44">
        <v>172823</v>
      </c>
      <c r="E100" s="44" t="s">
        <v>401</v>
      </c>
      <c r="F100" s="44" t="s">
        <v>517</v>
      </c>
      <c r="G100" s="44" t="s">
        <v>492</v>
      </c>
      <c r="H100" s="44" t="s">
        <v>118</v>
      </c>
      <c r="I100" s="46">
        <v>44889</v>
      </c>
      <c r="J100" s="46">
        <v>44892</v>
      </c>
      <c r="K100" s="44" t="s">
        <v>518</v>
      </c>
      <c r="L100" s="44">
        <v>4</v>
      </c>
      <c r="M100" s="44">
        <v>6</v>
      </c>
      <c r="N100" s="44" t="s">
        <v>254</v>
      </c>
      <c r="O100" s="44" t="s">
        <v>218</v>
      </c>
      <c r="P100" s="39">
        <v>450000</v>
      </c>
      <c r="Q100" s="39">
        <v>320000</v>
      </c>
      <c r="R100" s="39">
        <v>60000</v>
      </c>
      <c r="S100" s="44"/>
      <c r="T100" s="39"/>
      <c r="U100" s="39">
        <v>150000</v>
      </c>
      <c r="V100" s="39">
        <f t="shared" si="4"/>
        <v>600000</v>
      </c>
      <c r="W100" s="44"/>
      <c r="X100" s="38"/>
      <c r="Y100" s="38"/>
      <c r="Z100" s="38"/>
      <c r="AA100" s="38"/>
      <c r="AB100" s="38"/>
    </row>
    <row r="101" spans="1:28" ht="93.75" customHeight="1" x14ac:dyDescent="0.2">
      <c r="A101" s="44" t="s">
        <v>29</v>
      </c>
      <c r="B101" s="44" t="s">
        <v>35</v>
      </c>
      <c r="C101" s="44" t="s">
        <v>519</v>
      </c>
      <c r="D101" s="44" t="s">
        <v>520</v>
      </c>
      <c r="E101" s="44" t="s">
        <v>521</v>
      </c>
      <c r="F101" s="44" t="s">
        <v>522</v>
      </c>
      <c r="G101" s="44" t="s">
        <v>499</v>
      </c>
      <c r="H101" s="44" t="s">
        <v>118</v>
      </c>
      <c r="I101" s="46">
        <v>44889</v>
      </c>
      <c r="J101" s="46">
        <v>44890</v>
      </c>
      <c r="K101" s="44" t="s">
        <v>523</v>
      </c>
      <c r="L101" s="44">
        <v>2</v>
      </c>
      <c r="M101" s="44">
        <f>12+3+6</f>
        <v>21</v>
      </c>
      <c r="N101" s="44" t="s">
        <v>254</v>
      </c>
      <c r="O101" s="44"/>
      <c r="P101" s="39"/>
      <c r="Q101" s="39"/>
      <c r="R101" s="39"/>
      <c r="S101" s="44"/>
      <c r="T101" s="39">
        <v>4940000</v>
      </c>
      <c r="U101" s="39">
        <v>150000</v>
      </c>
      <c r="V101" s="39">
        <f t="shared" si="4"/>
        <v>300000</v>
      </c>
      <c r="W101" s="44"/>
      <c r="X101" s="38"/>
      <c r="Y101" s="38"/>
      <c r="Z101" s="38"/>
      <c r="AA101" s="38"/>
      <c r="AB101" s="38"/>
    </row>
    <row r="102" spans="1:28" ht="93.75" customHeight="1" x14ac:dyDescent="0.2">
      <c r="A102" s="44" t="s">
        <v>29</v>
      </c>
      <c r="B102" s="44" t="s">
        <v>35</v>
      </c>
      <c r="C102" s="44" t="s">
        <v>524</v>
      </c>
      <c r="D102" s="44">
        <v>172826</v>
      </c>
      <c r="E102" s="44" t="s">
        <v>282</v>
      </c>
      <c r="F102" s="44" t="s">
        <v>283</v>
      </c>
      <c r="G102" s="44" t="s">
        <v>268</v>
      </c>
      <c r="H102" s="44" t="s">
        <v>120</v>
      </c>
      <c r="I102" s="46">
        <v>44890</v>
      </c>
      <c r="J102" s="46">
        <v>44890</v>
      </c>
      <c r="K102" s="44" t="s">
        <v>525</v>
      </c>
      <c r="L102" s="44">
        <v>1</v>
      </c>
      <c r="M102" s="44">
        <v>10</v>
      </c>
      <c r="N102" s="44" t="s">
        <v>254</v>
      </c>
      <c r="O102" s="44"/>
      <c r="P102" s="39"/>
      <c r="Q102" s="39"/>
      <c r="R102" s="39"/>
      <c r="S102" s="44"/>
      <c r="T102" s="39">
        <v>2140000</v>
      </c>
      <c r="U102" s="39">
        <v>150000</v>
      </c>
      <c r="V102" s="39">
        <f t="shared" si="4"/>
        <v>150000</v>
      </c>
      <c r="W102" s="44"/>
      <c r="X102" s="38"/>
      <c r="Y102" s="38"/>
      <c r="Z102" s="38"/>
      <c r="AA102" s="38"/>
      <c r="AB102" s="38"/>
    </row>
    <row r="103" spans="1:28" ht="93.75" customHeight="1" x14ac:dyDescent="0.2">
      <c r="A103" s="44" t="s">
        <v>29</v>
      </c>
      <c r="B103" s="44" t="s">
        <v>35</v>
      </c>
      <c r="C103" s="44" t="s">
        <v>526</v>
      </c>
      <c r="D103" s="44">
        <v>173407</v>
      </c>
      <c r="E103" s="44" t="s">
        <v>250</v>
      </c>
      <c r="F103" s="44" t="s">
        <v>251</v>
      </c>
      <c r="G103" s="44" t="s">
        <v>495</v>
      </c>
      <c r="H103" s="44" t="s">
        <v>120</v>
      </c>
      <c r="I103" s="46">
        <v>44893</v>
      </c>
      <c r="J103" s="46">
        <v>44893</v>
      </c>
      <c r="K103" s="44" t="s">
        <v>527</v>
      </c>
      <c r="L103" s="44">
        <v>1</v>
      </c>
      <c r="M103" s="44">
        <v>22</v>
      </c>
      <c r="N103" s="53"/>
      <c r="O103" s="44" t="s">
        <v>140</v>
      </c>
      <c r="P103" s="39">
        <v>150000</v>
      </c>
      <c r="Q103" s="39">
        <v>41000</v>
      </c>
      <c r="R103" s="39">
        <v>0</v>
      </c>
      <c r="S103" s="44"/>
      <c r="T103" s="39"/>
      <c r="U103" s="39">
        <v>150000</v>
      </c>
      <c r="V103" s="39">
        <f t="shared" si="4"/>
        <v>150000</v>
      </c>
      <c r="W103" s="44"/>
      <c r="X103" s="38"/>
      <c r="Y103" s="38"/>
      <c r="Z103" s="38"/>
      <c r="AA103" s="38"/>
      <c r="AB103" s="38"/>
    </row>
    <row r="104" spans="1:28" ht="93.75" customHeight="1" x14ac:dyDescent="0.2">
      <c r="A104" s="44" t="s">
        <v>11</v>
      </c>
      <c r="B104" s="44" t="s">
        <v>33</v>
      </c>
      <c r="C104" s="44" t="s">
        <v>528</v>
      </c>
      <c r="D104" s="44">
        <v>174192</v>
      </c>
      <c r="E104" s="44" t="s">
        <v>529</v>
      </c>
      <c r="F104" s="44" t="s">
        <v>530</v>
      </c>
      <c r="G104" s="44" t="s">
        <v>531</v>
      </c>
      <c r="H104" s="44" t="s">
        <v>120</v>
      </c>
      <c r="I104" s="48">
        <v>44840</v>
      </c>
      <c r="J104" s="48">
        <v>44841</v>
      </c>
      <c r="K104" s="44" t="s">
        <v>532</v>
      </c>
      <c r="L104" s="44">
        <v>2</v>
      </c>
      <c r="M104" s="44">
        <v>25</v>
      </c>
      <c r="N104" s="44"/>
      <c r="O104" s="44" t="s">
        <v>211</v>
      </c>
      <c r="P104" s="39">
        <v>0</v>
      </c>
      <c r="Q104" s="39">
        <v>20000</v>
      </c>
      <c r="R104" s="39">
        <v>0</v>
      </c>
      <c r="S104" s="44"/>
      <c r="T104" s="39"/>
      <c r="U104" s="39">
        <v>150000</v>
      </c>
      <c r="V104" s="39">
        <f t="shared" si="4"/>
        <v>300000</v>
      </c>
      <c r="W104" s="44"/>
      <c r="X104" s="38"/>
      <c r="Y104" s="38"/>
      <c r="Z104" s="38"/>
      <c r="AA104" s="38"/>
      <c r="AB104" s="38"/>
    </row>
    <row r="105" spans="1:28" ht="93.75" customHeight="1" x14ac:dyDescent="0.2">
      <c r="A105" s="44" t="s">
        <v>11</v>
      </c>
      <c r="B105" s="44" t="s">
        <v>33</v>
      </c>
      <c r="C105" s="44" t="s">
        <v>533</v>
      </c>
      <c r="D105" s="44">
        <v>174201</v>
      </c>
      <c r="E105" s="44" t="s">
        <v>534</v>
      </c>
      <c r="F105" s="44" t="s">
        <v>535</v>
      </c>
      <c r="G105" s="44" t="s">
        <v>531</v>
      </c>
      <c r="H105" s="44" t="s">
        <v>120</v>
      </c>
      <c r="I105" s="46">
        <v>44858</v>
      </c>
      <c r="J105" s="46">
        <v>44859</v>
      </c>
      <c r="K105" s="44" t="s">
        <v>532</v>
      </c>
      <c r="L105" s="44">
        <v>2</v>
      </c>
      <c r="M105" s="44">
        <v>27</v>
      </c>
      <c r="N105" s="44"/>
      <c r="O105" s="44"/>
      <c r="P105" s="39"/>
      <c r="Q105" s="39"/>
      <c r="R105" s="39"/>
      <c r="S105" s="44"/>
      <c r="T105" s="39">
        <v>2140000</v>
      </c>
      <c r="U105" s="39">
        <v>150000</v>
      </c>
      <c r="V105" s="39">
        <f t="shared" si="4"/>
        <v>300000</v>
      </c>
      <c r="W105" s="44"/>
      <c r="X105" s="38"/>
      <c r="Y105" s="38"/>
      <c r="Z105" s="38"/>
      <c r="AA105" s="38"/>
      <c r="AB105" s="38"/>
    </row>
    <row r="106" spans="1:28" ht="120" customHeight="1" x14ac:dyDescent="0.2">
      <c r="A106" s="44" t="s">
        <v>11</v>
      </c>
      <c r="B106" s="44" t="s">
        <v>33</v>
      </c>
      <c r="C106" s="44" t="s">
        <v>536</v>
      </c>
      <c r="D106" s="44">
        <v>174236</v>
      </c>
      <c r="E106" s="44" t="s">
        <v>537</v>
      </c>
      <c r="F106" s="44" t="s">
        <v>538</v>
      </c>
      <c r="G106" s="44" t="s">
        <v>539</v>
      </c>
      <c r="H106" s="44" t="s">
        <v>120</v>
      </c>
      <c r="I106" s="46">
        <v>44859</v>
      </c>
      <c r="J106" s="46">
        <v>44860</v>
      </c>
      <c r="K106" s="44" t="s">
        <v>540</v>
      </c>
      <c r="L106" s="44">
        <v>2</v>
      </c>
      <c r="M106" s="44">
        <v>19</v>
      </c>
      <c r="N106" s="44"/>
      <c r="O106" s="44" t="s">
        <v>140</v>
      </c>
      <c r="P106" s="39">
        <v>400000</v>
      </c>
      <c r="Q106" s="39">
        <v>180000</v>
      </c>
      <c r="R106" s="39">
        <v>30000</v>
      </c>
      <c r="S106" s="44"/>
      <c r="T106" s="39"/>
      <c r="U106" s="39">
        <v>150000</v>
      </c>
      <c r="V106" s="39">
        <f t="shared" si="4"/>
        <v>300000</v>
      </c>
      <c r="W106" s="44"/>
      <c r="X106" s="38"/>
      <c r="Y106" s="38"/>
      <c r="Z106" s="38"/>
      <c r="AA106" s="38"/>
      <c r="AB106" s="38"/>
    </row>
    <row r="107" spans="1:28" ht="93.75" customHeight="1" x14ac:dyDescent="0.2">
      <c r="A107" s="44" t="s">
        <v>11</v>
      </c>
      <c r="B107" s="44" t="s">
        <v>33</v>
      </c>
      <c r="C107" s="44" t="s">
        <v>541</v>
      </c>
      <c r="D107" s="44">
        <v>174293</v>
      </c>
      <c r="E107" s="44" t="s">
        <v>542</v>
      </c>
      <c r="F107" s="44" t="s">
        <v>543</v>
      </c>
      <c r="G107" s="44" t="s">
        <v>544</v>
      </c>
      <c r="H107" s="44" t="s">
        <v>200</v>
      </c>
      <c r="I107" s="46">
        <v>44862</v>
      </c>
      <c r="J107" s="46">
        <v>44862</v>
      </c>
      <c r="K107" s="44" t="s">
        <v>545</v>
      </c>
      <c r="L107" s="44">
        <v>1</v>
      </c>
      <c r="M107" s="44">
        <v>29</v>
      </c>
      <c r="N107" s="44"/>
      <c r="O107" s="44" t="s">
        <v>121</v>
      </c>
      <c r="P107" s="39">
        <v>0</v>
      </c>
      <c r="Q107" s="39">
        <v>0</v>
      </c>
      <c r="R107" s="39">
        <v>0</v>
      </c>
      <c r="S107" s="44"/>
      <c r="T107" s="39"/>
      <c r="U107" s="39">
        <v>150000</v>
      </c>
      <c r="V107" s="39">
        <f t="shared" si="4"/>
        <v>150000</v>
      </c>
      <c r="W107" s="44"/>
      <c r="X107" s="38"/>
      <c r="Y107" s="38"/>
      <c r="Z107" s="38"/>
      <c r="AA107" s="38"/>
      <c r="AB107" s="38"/>
    </row>
    <row r="108" spans="1:28" ht="93.75" customHeight="1" x14ac:dyDescent="0.2">
      <c r="A108" s="44" t="s">
        <v>11</v>
      </c>
      <c r="B108" s="44" t="s">
        <v>33</v>
      </c>
      <c r="C108" s="44" t="s">
        <v>546</v>
      </c>
      <c r="D108" s="44">
        <v>173975</v>
      </c>
      <c r="E108" s="44" t="s">
        <v>547</v>
      </c>
      <c r="F108" s="44" t="s">
        <v>548</v>
      </c>
      <c r="G108" s="44" t="s">
        <v>549</v>
      </c>
      <c r="H108" s="44" t="s">
        <v>120</v>
      </c>
      <c r="I108" s="48">
        <v>44874</v>
      </c>
      <c r="J108" s="46">
        <v>44876</v>
      </c>
      <c r="K108" s="44" t="s">
        <v>550</v>
      </c>
      <c r="L108" s="44">
        <v>3</v>
      </c>
      <c r="M108" s="44">
        <v>21</v>
      </c>
      <c r="N108" s="44"/>
      <c r="O108" s="44"/>
      <c r="P108" s="39"/>
      <c r="Q108" s="39"/>
      <c r="R108" s="39"/>
      <c r="S108" s="44"/>
      <c r="T108" s="39">
        <v>6600000</v>
      </c>
      <c r="U108" s="39">
        <v>150000</v>
      </c>
      <c r="V108" s="39">
        <f t="shared" si="4"/>
        <v>450000</v>
      </c>
      <c r="W108" s="44"/>
      <c r="X108" s="38"/>
      <c r="Y108" s="38"/>
      <c r="Z108" s="38"/>
      <c r="AA108" s="38"/>
      <c r="AB108" s="38"/>
    </row>
    <row r="109" spans="1:28" ht="93.75" customHeight="1" x14ac:dyDescent="0.2">
      <c r="A109" s="44" t="s">
        <v>11</v>
      </c>
      <c r="B109" s="44" t="s">
        <v>33</v>
      </c>
      <c r="C109" s="44" t="s">
        <v>551</v>
      </c>
      <c r="D109" s="44">
        <v>174248</v>
      </c>
      <c r="E109" s="44" t="s">
        <v>552</v>
      </c>
      <c r="F109" s="44" t="s">
        <v>553</v>
      </c>
      <c r="G109" s="44" t="s">
        <v>554</v>
      </c>
      <c r="H109" s="44" t="s">
        <v>115</v>
      </c>
      <c r="I109" s="46">
        <v>44875</v>
      </c>
      <c r="J109" s="46">
        <v>44875</v>
      </c>
      <c r="K109" s="44" t="s">
        <v>555</v>
      </c>
      <c r="L109" s="44">
        <v>1</v>
      </c>
      <c r="M109" s="44">
        <v>19</v>
      </c>
      <c r="N109" s="44" t="s">
        <v>556</v>
      </c>
      <c r="O109" s="44" t="s">
        <v>557</v>
      </c>
      <c r="P109" s="39">
        <v>0</v>
      </c>
      <c r="Q109" s="39">
        <v>50000</v>
      </c>
      <c r="R109" s="39">
        <v>0</v>
      </c>
      <c r="S109" s="44"/>
      <c r="T109" s="39"/>
      <c r="U109" s="39">
        <v>444947</v>
      </c>
      <c r="V109" s="39">
        <f t="shared" si="4"/>
        <v>444947</v>
      </c>
      <c r="W109" s="44"/>
      <c r="X109" s="38"/>
      <c r="Y109" s="38"/>
      <c r="Z109" s="38"/>
      <c r="AA109" s="38"/>
      <c r="AB109" s="38"/>
    </row>
    <row r="110" spans="1:28" ht="165" customHeight="1" x14ac:dyDescent="0.2">
      <c r="A110" s="44" t="s">
        <v>11</v>
      </c>
      <c r="B110" s="44" t="s">
        <v>33</v>
      </c>
      <c r="C110" s="44" t="s">
        <v>558</v>
      </c>
      <c r="D110" s="44">
        <v>170383</v>
      </c>
      <c r="E110" s="44" t="s">
        <v>559</v>
      </c>
      <c r="F110" s="44" t="s">
        <v>560</v>
      </c>
      <c r="G110" s="44" t="s">
        <v>561</v>
      </c>
      <c r="H110" s="44" t="s">
        <v>120</v>
      </c>
      <c r="I110" s="46">
        <v>44881</v>
      </c>
      <c r="J110" s="46">
        <v>44882</v>
      </c>
      <c r="K110" s="44" t="s">
        <v>562</v>
      </c>
      <c r="L110" s="44">
        <v>2</v>
      </c>
      <c r="M110" s="44">
        <v>18</v>
      </c>
      <c r="N110" s="44"/>
      <c r="O110" s="44" t="s">
        <v>218</v>
      </c>
      <c r="P110" s="39">
        <v>400000</v>
      </c>
      <c r="Q110" s="39">
        <v>220000</v>
      </c>
      <c r="R110" s="39">
        <v>20000</v>
      </c>
      <c r="S110" s="44"/>
      <c r="T110" s="39"/>
      <c r="U110" s="39">
        <v>150000</v>
      </c>
      <c r="V110" s="39">
        <f t="shared" si="4"/>
        <v>300000</v>
      </c>
      <c r="W110" s="44"/>
      <c r="X110" s="38"/>
      <c r="Y110" s="38"/>
      <c r="Z110" s="38"/>
      <c r="AA110" s="38"/>
      <c r="AB110" s="38"/>
    </row>
    <row r="111" spans="1:28" ht="126" customHeight="1" x14ac:dyDescent="0.2">
      <c r="A111" s="44" t="s">
        <v>11</v>
      </c>
      <c r="B111" s="44" t="s">
        <v>563</v>
      </c>
      <c r="C111" s="44" t="s">
        <v>564</v>
      </c>
      <c r="D111" s="44">
        <v>172831</v>
      </c>
      <c r="E111" s="44" t="s">
        <v>565</v>
      </c>
      <c r="F111" s="44" t="s">
        <v>566</v>
      </c>
      <c r="G111" s="44" t="s">
        <v>567</v>
      </c>
      <c r="H111" s="44" t="s">
        <v>115</v>
      </c>
      <c r="I111" s="46">
        <v>44833</v>
      </c>
      <c r="J111" s="46">
        <v>44833</v>
      </c>
      <c r="K111" s="44" t="s">
        <v>568</v>
      </c>
      <c r="L111" s="44">
        <v>1</v>
      </c>
      <c r="M111" s="44">
        <v>40</v>
      </c>
      <c r="N111" s="44"/>
      <c r="O111" s="44"/>
      <c r="P111" s="39"/>
      <c r="Q111" s="39"/>
      <c r="R111" s="39"/>
      <c r="S111" s="44"/>
      <c r="T111" s="39">
        <v>790000</v>
      </c>
      <c r="U111" s="39">
        <v>150000</v>
      </c>
      <c r="V111" s="39">
        <f t="shared" si="4"/>
        <v>150000</v>
      </c>
      <c r="W111" s="44"/>
      <c r="X111" s="38"/>
      <c r="Y111" s="38"/>
      <c r="Z111" s="38"/>
      <c r="AA111" s="38"/>
      <c r="AB111" s="38"/>
    </row>
    <row r="112" spans="1:28" ht="93.75" customHeight="1" x14ac:dyDescent="0.2">
      <c r="A112" s="44" t="s">
        <v>11</v>
      </c>
      <c r="B112" s="44" t="s">
        <v>563</v>
      </c>
      <c r="C112" s="54" t="s">
        <v>569</v>
      </c>
      <c r="D112" s="44">
        <v>174039</v>
      </c>
      <c r="E112" s="44" t="s">
        <v>570</v>
      </c>
      <c r="F112" s="44" t="s">
        <v>571</v>
      </c>
      <c r="G112" s="44" t="s">
        <v>572</v>
      </c>
      <c r="H112" s="44" t="s">
        <v>200</v>
      </c>
      <c r="I112" s="46">
        <v>44848</v>
      </c>
      <c r="J112" s="46">
        <v>44850</v>
      </c>
      <c r="K112" s="44" t="s">
        <v>573</v>
      </c>
      <c r="L112" s="44">
        <v>3</v>
      </c>
      <c r="M112" s="44">
        <v>32</v>
      </c>
      <c r="N112" s="44"/>
      <c r="O112" s="44" t="s">
        <v>140</v>
      </c>
      <c r="P112" s="39">
        <v>150000</v>
      </c>
      <c r="Q112" s="39">
        <v>41000</v>
      </c>
      <c r="R112" s="39">
        <v>20000</v>
      </c>
      <c r="S112" s="44"/>
      <c r="T112" s="39"/>
      <c r="U112" s="39">
        <v>150000</v>
      </c>
      <c r="V112" s="39">
        <f t="shared" si="4"/>
        <v>450000</v>
      </c>
      <c r="W112" s="44"/>
      <c r="X112" s="38"/>
      <c r="Y112" s="38"/>
      <c r="Z112" s="38"/>
      <c r="AA112" s="38"/>
      <c r="AB112" s="38"/>
    </row>
    <row r="113" spans="1:28" ht="93.75" customHeight="1" x14ac:dyDescent="0.2">
      <c r="A113" s="44" t="s">
        <v>11</v>
      </c>
      <c r="B113" s="44" t="s">
        <v>563</v>
      </c>
      <c r="C113" s="54" t="s">
        <v>569</v>
      </c>
      <c r="D113" s="44">
        <v>174041</v>
      </c>
      <c r="E113" s="44" t="s">
        <v>570</v>
      </c>
      <c r="F113" s="44" t="s">
        <v>571</v>
      </c>
      <c r="G113" s="44" t="s">
        <v>572</v>
      </c>
      <c r="H113" s="44" t="s">
        <v>200</v>
      </c>
      <c r="I113" s="48">
        <v>44869</v>
      </c>
      <c r="J113" s="48">
        <v>44871</v>
      </c>
      <c r="K113" s="44" t="s">
        <v>573</v>
      </c>
      <c r="L113" s="44">
        <v>3</v>
      </c>
      <c r="M113" s="44">
        <v>26</v>
      </c>
      <c r="N113" s="44"/>
      <c r="O113" s="44"/>
      <c r="P113" s="39"/>
      <c r="Q113" s="39"/>
      <c r="R113" s="39"/>
      <c r="S113" s="44"/>
      <c r="T113" s="39">
        <v>9120000</v>
      </c>
      <c r="U113" s="39">
        <v>150000</v>
      </c>
      <c r="V113" s="39">
        <f t="shared" si="4"/>
        <v>450000</v>
      </c>
      <c r="W113" s="44"/>
      <c r="X113" s="38"/>
      <c r="Y113" s="38"/>
      <c r="Z113" s="38"/>
      <c r="AA113" s="38"/>
      <c r="AB113" s="38"/>
    </row>
    <row r="114" spans="1:28" ht="155.25" customHeight="1" x14ac:dyDescent="0.2">
      <c r="A114" s="44" t="s">
        <v>11</v>
      </c>
      <c r="B114" s="44" t="s">
        <v>563</v>
      </c>
      <c r="C114" s="44" t="s">
        <v>574</v>
      </c>
      <c r="D114" s="44">
        <v>172844</v>
      </c>
      <c r="E114" s="44" t="s">
        <v>575</v>
      </c>
      <c r="F114" s="44" t="s">
        <v>576</v>
      </c>
      <c r="G114" s="44" t="s">
        <v>484</v>
      </c>
      <c r="H114" s="44" t="s">
        <v>115</v>
      </c>
      <c r="I114" s="48">
        <v>44873</v>
      </c>
      <c r="J114" s="48">
        <v>44873</v>
      </c>
      <c r="K114" s="44" t="s">
        <v>577</v>
      </c>
      <c r="L114" s="44">
        <v>1</v>
      </c>
      <c r="M114" s="44">
        <v>21</v>
      </c>
      <c r="N114" s="44"/>
      <c r="O114" s="44"/>
      <c r="P114" s="39"/>
      <c r="Q114" s="39"/>
      <c r="R114" s="39"/>
      <c r="S114" s="44"/>
      <c r="T114" s="39">
        <v>1850000</v>
      </c>
      <c r="U114" s="39">
        <v>150000</v>
      </c>
      <c r="V114" s="39">
        <f t="shared" si="4"/>
        <v>150000</v>
      </c>
      <c r="W114" s="44"/>
      <c r="X114" s="38"/>
      <c r="Y114" s="38"/>
      <c r="Z114" s="38"/>
      <c r="AA114" s="38"/>
      <c r="AB114" s="38"/>
    </row>
    <row r="115" spans="1:28" ht="93.75" customHeight="1" x14ac:dyDescent="0.2">
      <c r="A115" s="44" t="s">
        <v>11</v>
      </c>
      <c r="B115" s="44" t="s">
        <v>563</v>
      </c>
      <c r="C115" s="54" t="s">
        <v>569</v>
      </c>
      <c r="D115" s="44">
        <v>174042</v>
      </c>
      <c r="E115" s="44" t="s">
        <v>570</v>
      </c>
      <c r="F115" s="44" t="s">
        <v>571</v>
      </c>
      <c r="G115" s="44" t="s">
        <v>572</v>
      </c>
      <c r="H115" s="44" t="s">
        <v>200</v>
      </c>
      <c r="I115" s="46">
        <v>44876</v>
      </c>
      <c r="J115" s="46">
        <v>44878</v>
      </c>
      <c r="K115" s="44" t="s">
        <v>573</v>
      </c>
      <c r="L115" s="44">
        <v>3</v>
      </c>
      <c r="M115" s="44">
        <v>13</v>
      </c>
      <c r="N115" s="44"/>
      <c r="O115" s="44" t="s">
        <v>211</v>
      </c>
      <c r="P115" s="39">
        <v>200000</v>
      </c>
      <c r="Q115" s="39">
        <v>41000</v>
      </c>
      <c r="R115" s="39">
        <v>20000</v>
      </c>
      <c r="S115" s="44"/>
      <c r="T115" s="39"/>
      <c r="U115" s="39">
        <v>150000</v>
      </c>
      <c r="V115" s="39">
        <f t="shared" si="4"/>
        <v>450000</v>
      </c>
      <c r="W115" s="44"/>
      <c r="X115" s="38"/>
      <c r="Y115" s="38"/>
      <c r="Z115" s="38"/>
      <c r="AA115" s="38"/>
      <c r="AB115" s="38"/>
    </row>
    <row r="116" spans="1:28" ht="93.75" customHeight="1" x14ac:dyDescent="0.2">
      <c r="A116" s="44" t="s">
        <v>11</v>
      </c>
      <c r="B116" s="44" t="s">
        <v>37</v>
      </c>
      <c r="C116" s="44" t="s">
        <v>578</v>
      </c>
      <c r="D116" s="44">
        <v>172208</v>
      </c>
      <c r="E116" s="44" t="s">
        <v>579</v>
      </c>
      <c r="F116" s="44" t="s">
        <v>580</v>
      </c>
      <c r="G116" s="44" t="s">
        <v>581</v>
      </c>
      <c r="H116" s="44" t="s">
        <v>115</v>
      </c>
      <c r="I116" s="46">
        <v>44848</v>
      </c>
      <c r="J116" s="46">
        <v>44848</v>
      </c>
      <c r="K116" s="44" t="s">
        <v>582</v>
      </c>
      <c r="L116" s="44">
        <v>1</v>
      </c>
      <c r="M116" s="44">
        <v>19</v>
      </c>
      <c r="N116" s="44"/>
      <c r="O116" s="44" t="s">
        <v>121</v>
      </c>
      <c r="P116" s="39">
        <v>100000</v>
      </c>
      <c r="Q116" s="39">
        <v>20000</v>
      </c>
      <c r="R116" s="39">
        <v>0</v>
      </c>
      <c r="S116" s="44"/>
      <c r="T116" s="39"/>
      <c r="U116" s="39">
        <v>150000</v>
      </c>
      <c r="V116" s="39">
        <f t="shared" si="4"/>
        <v>150000</v>
      </c>
      <c r="W116" s="44"/>
      <c r="X116" s="38"/>
      <c r="Y116" s="38"/>
      <c r="Z116" s="38"/>
      <c r="AA116" s="38"/>
      <c r="AB116" s="38"/>
    </row>
    <row r="117" spans="1:28" ht="93.75" customHeight="1" x14ac:dyDescent="0.2">
      <c r="A117" s="44" t="s">
        <v>11</v>
      </c>
      <c r="B117" s="44" t="s">
        <v>583</v>
      </c>
      <c r="C117" s="44" t="s">
        <v>584</v>
      </c>
      <c r="D117" s="44" t="s">
        <v>585</v>
      </c>
      <c r="E117" s="44" t="s">
        <v>586</v>
      </c>
      <c r="F117" s="44" t="s">
        <v>587</v>
      </c>
      <c r="G117" s="44" t="s">
        <v>588</v>
      </c>
      <c r="H117" s="44" t="s">
        <v>115</v>
      </c>
      <c r="I117" s="46">
        <v>44875</v>
      </c>
      <c r="J117" s="46">
        <v>44877</v>
      </c>
      <c r="K117" s="44" t="s">
        <v>589</v>
      </c>
      <c r="L117" s="44">
        <v>3</v>
      </c>
      <c r="M117" s="44">
        <f>15+17</f>
        <v>32</v>
      </c>
      <c r="N117" s="44"/>
      <c r="O117" s="44" t="s">
        <v>211</v>
      </c>
      <c r="P117" s="39">
        <v>400000</v>
      </c>
      <c r="Q117" s="39">
        <v>180000</v>
      </c>
      <c r="R117" s="39">
        <v>50000</v>
      </c>
      <c r="S117" s="44"/>
      <c r="T117" s="39"/>
      <c r="U117" s="39">
        <v>444947</v>
      </c>
      <c r="V117" s="39">
        <f t="shared" si="4"/>
        <v>1334841</v>
      </c>
      <c r="W117" s="44"/>
      <c r="X117" s="38"/>
      <c r="Y117" s="38"/>
      <c r="Z117" s="38"/>
      <c r="AA117" s="38"/>
      <c r="AB117" s="38"/>
    </row>
    <row r="118" spans="1:28" ht="93.75" customHeight="1" x14ac:dyDescent="0.2">
      <c r="A118" s="44" t="s">
        <v>11</v>
      </c>
      <c r="B118" s="44" t="s">
        <v>583</v>
      </c>
      <c r="C118" s="44" t="s">
        <v>584</v>
      </c>
      <c r="D118" s="44" t="s">
        <v>590</v>
      </c>
      <c r="E118" s="44" t="s">
        <v>586</v>
      </c>
      <c r="F118" s="44" t="s">
        <v>587</v>
      </c>
      <c r="G118" s="44" t="s">
        <v>588</v>
      </c>
      <c r="H118" s="44" t="s">
        <v>115</v>
      </c>
      <c r="I118" s="46">
        <v>44868</v>
      </c>
      <c r="J118" s="46">
        <v>44870</v>
      </c>
      <c r="K118" s="44" t="s">
        <v>589</v>
      </c>
      <c r="L118" s="44">
        <v>3</v>
      </c>
      <c r="M118" s="44">
        <f>13+15+15</f>
        <v>43</v>
      </c>
      <c r="N118" s="44"/>
      <c r="O118" s="44" t="s">
        <v>218</v>
      </c>
      <c r="P118" s="39">
        <v>400000</v>
      </c>
      <c r="Q118" s="39">
        <v>180000</v>
      </c>
      <c r="R118" s="39">
        <v>50000</v>
      </c>
      <c r="S118" s="44"/>
      <c r="T118" s="39"/>
      <c r="U118" s="39">
        <v>444947</v>
      </c>
      <c r="V118" s="39">
        <f t="shared" si="4"/>
        <v>1334841</v>
      </c>
      <c r="W118" s="44"/>
      <c r="X118" s="38"/>
      <c r="Y118" s="38"/>
      <c r="Z118" s="38"/>
      <c r="AA118" s="38"/>
      <c r="AB118" s="38"/>
    </row>
    <row r="119" spans="1:28" ht="93.75" customHeight="1" x14ac:dyDescent="0.2">
      <c r="A119" s="44" t="s">
        <v>11</v>
      </c>
      <c r="B119" s="44" t="s">
        <v>583</v>
      </c>
      <c r="C119" s="44" t="s">
        <v>591</v>
      </c>
      <c r="D119" s="44">
        <v>172852</v>
      </c>
      <c r="E119" s="44" t="s">
        <v>592</v>
      </c>
      <c r="F119" s="44" t="s">
        <v>593</v>
      </c>
      <c r="G119" s="44" t="s">
        <v>594</v>
      </c>
      <c r="H119" s="44" t="s">
        <v>115</v>
      </c>
      <c r="I119" s="46">
        <v>44869</v>
      </c>
      <c r="J119" s="46">
        <v>44872</v>
      </c>
      <c r="K119" s="44" t="s">
        <v>595</v>
      </c>
      <c r="L119" s="44">
        <v>4</v>
      </c>
      <c r="M119" s="44">
        <v>20</v>
      </c>
      <c r="N119" s="44"/>
      <c r="O119" s="44"/>
      <c r="P119" s="39"/>
      <c r="Q119" s="39"/>
      <c r="R119" s="39"/>
      <c r="S119" s="44"/>
      <c r="T119" s="39">
        <v>9920000</v>
      </c>
      <c r="U119" s="39">
        <v>150000</v>
      </c>
      <c r="V119" s="39">
        <f t="shared" si="4"/>
        <v>600000</v>
      </c>
      <c r="W119" s="44"/>
      <c r="X119" s="38"/>
      <c r="Y119" s="38"/>
      <c r="Z119" s="38"/>
      <c r="AA119" s="38"/>
      <c r="AB119" s="38"/>
    </row>
    <row r="120" spans="1:28" ht="93.75" customHeight="1" x14ac:dyDescent="0.2">
      <c r="A120" s="44" t="s">
        <v>11</v>
      </c>
      <c r="B120" s="44" t="s">
        <v>583</v>
      </c>
      <c r="C120" s="44" t="s">
        <v>596</v>
      </c>
      <c r="D120" s="44" t="s">
        <v>597</v>
      </c>
      <c r="E120" s="44" t="s">
        <v>598</v>
      </c>
      <c r="F120" s="44" t="s">
        <v>599</v>
      </c>
      <c r="G120" s="44" t="s">
        <v>600</v>
      </c>
      <c r="H120" s="44" t="s">
        <v>115</v>
      </c>
      <c r="I120" s="50">
        <v>44875</v>
      </c>
      <c r="J120" s="50">
        <v>44876</v>
      </c>
      <c r="K120" s="44" t="s">
        <v>601</v>
      </c>
      <c r="L120" s="44">
        <v>2</v>
      </c>
      <c r="M120" s="44">
        <v>12</v>
      </c>
      <c r="N120" s="44"/>
      <c r="O120" s="44"/>
      <c r="P120" s="39"/>
      <c r="Q120" s="39"/>
      <c r="R120" s="39"/>
      <c r="S120" s="44"/>
      <c r="T120" s="39">
        <v>3860000</v>
      </c>
      <c r="U120" s="39">
        <v>150000</v>
      </c>
      <c r="V120" s="39">
        <f t="shared" si="4"/>
        <v>300000</v>
      </c>
      <c r="W120" s="44"/>
      <c r="X120" s="38"/>
      <c r="Y120" s="38"/>
      <c r="Z120" s="38"/>
      <c r="AA120" s="38"/>
      <c r="AB120" s="38"/>
    </row>
    <row r="121" spans="1:28" ht="93.75" customHeight="1" x14ac:dyDescent="0.2">
      <c r="A121" s="44" t="s">
        <v>11</v>
      </c>
      <c r="B121" s="44" t="s">
        <v>583</v>
      </c>
      <c r="C121" s="44" t="s">
        <v>602</v>
      </c>
      <c r="D121" s="44">
        <v>172846</v>
      </c>
      <c r="E121" s="44" t="s">
        <v>603</v>
      </c>
      <c r="F121" s="44" t="s">
        <v>604</v>
      </c>
      <c r="G121" s="44" t="s">
        <v>594</v>
      </c>
      <c r="H121" s="44" t="s">
        <v>115</v>
      </c>
      <c r="I121" s="46">
        <v>44877</v>
      </c>
      <c r="J121" s="46">
        <v>44879</v>
      </c>
      <c r="K121" s="44" t="s">
        <v>605</v>
      </c>
      <c r="L121" s="44">
        <v>3</v>
      </c>
      <c r="M121" s="44">
        <v>27</v>
      </c>
      <c r="N121" s="44"/>
      <c r="O121" s="44"/>
      <c r="P121" s="39"/>
      <c r="Q121" s="39"/>
      <c r="R121" s="39"/>
      <c r="S121" s="44"/>
      <c r="T121" s="39">
        <v>4740000</v>
      </c>
      <c r="U121" s="39">
        <v>150000</v>
      </c>
      <c r="V121" s="39">
        <f t="shared" si="4"/>
        <v>450000</v>
      </c>
      <c r="W121" s="44"/>
      <c r="X121" s="38"/>
      <c r="Y121" s="38"/>
      <c r="Z121" s="38"/>
      <c r="AA121" s="38"/>
      <c r="AB121" s="38"/>
    </row>
    <row r="122" spans="1:28" ht="119.25" customHeight="1" x14ac:dyDescent="0.2">
      <c r="A122" s="44" t="s">
        <v>11</v>
      </c>
      <c r="B122" s="44" t="s">
        <v>583</v>
      </c>
      <c r="C122" s="44" t="s">
        <v>785</v>
      </c>
      <c r="D122" s="44" t="s">
        <v>786</v>
      </c>
      <c r="E122" s="44" t="s">
        <v>606</v>
      </c>
      <c r="F122" s="44" t="s">
        <v>787</v>
      </c>
      <c r="G122" s="44" t="s">
        <v>607</v>
      </c>
      <c r="H122" s="44" t="s">
        <v>115</v>
      </c>
      <c r="I122" s="50">
        <v>44896</v>
      </c>
      <c r="J122" s="50">
        <v>44898</v>
      </c>
      <c r="K122" s="44" t="s">
        <v>788</v>
      </c>
      <c r="L122" s="44">
        <v>3</v>
      </c>
      <c r="M122" s="44">
        <f>25+26+3</f>
        <v>54</v>
      </c>
      <c r="N122" s="44"/>
      <c r="O122" s="44" t="s">
        <v>789</v>
      </c>
      <c r="P122" s="39">
        <v>500000</v>
      </c>
      <c r="Q122" s="39">
        <v>82000</v>
      </c>
      <c r="R122" s="39">
        <v>60000</v>
      </c>
      <c r="S122" s="44"/>
      <c r="T122" s="39"/>
      <c r="U122" s="39">
        <v>150000</v>
      </c>
      <c r="V122" s="39">
        <f t="shared" si="4"/>
        <v>450000</v>
      </c>
      <c r="W122" s="44"/>
      <c r="X122" s="38"/>
      <c r="Y122" s="38"/>
      <c r="Z122" s="38"/>
      <c r="AA122" s="38"/>
      <c r="AB122" s="38"/>
    </row>
    <row r="123" spans="1:28" ht="188.25" customHeight="1" x14ac:dyDescent="0.2">
      <c r="A123" s="26" t="s">
        <v>11</v>
      </c>
      <c r="B123" s="26" t="s">
        <v>790</v>
      </c>
      <c r="C123" s="44" t="s">
        <v>791</v>
      </c>
      <c r="D123" s="44">
        <v>172690</v>
      </c>
      <c r="E123" s="44" t="s">
        <v>792</v>
      </c>
      <c r="F123" s="44" t="s">
        <v>793</v>
      </c>
      <c r="G123" s="44" t="s">
        <v>794</v>
      </c>
      <c r="H123" s="44" t="s">
        <v>795</v>
      </c>
      <c r="I123" s="46">
        <v>44848</v>
      </c>
      <c r="J123" s="46">
        <v>44890</v>
      </c>
      <c r="K123" s="44" t="s">
        <v>796</v>
      </c>
      <c r="L123" s="44">
        <v>8</v>
      </c>
      <c r="M123" s="44">
        <v>22</v>
      </c>
      <c r="N123" s="44"/>
      <c r="O123" s="44"/>
      <c r="P123" s="39"/>
      <c r="Q123" s="39"/>
      <c r="R123" s="39"/>
      <c r="S123" s="44"/>
      <c r="T123" s="39">
        <f>1240000*8</f>
        <v>9920000</v>
      </c>
      <c r="U123" s="39">
        <v>150000</v>
      </c>
      <c r="V123" s="39">
        <f t="shared" si="4"/>
        <v>1200000</v>
      </c>
      <c r="W123" s="44"/>
      <c r="X123" s="38"/>
      <c r="Y123" s="38"/>
      <c r="Z123" s="38"/>
      <c r="AA123" s="38"/>
      <c r="AB123" s="38"/>
    </row>
    <row r="124" spans="1:28" ht="93.75" customHeight="1" x14ac:dyDescent="0.2">
      <c r="A124" s="26" t="s">
        <v>11</v>
      </c>
      <c r="B124" s="26" t="s">
        <v>790</v>
      </c>
      <c r="C124" s="44" t="s">
        <v>797</v>
      </c>
      <c r="D124" s="44">
        <v>172685</v>
      </c>
      <c r="E124" s="44" t="s">
        <v>792</v>
      </c>
      <c r="F124" s="44" t="s">
        <v>798</v>
      </c>
      <c r="G124" s="44" t="s">
        <v>799</v>
      </c>
      <c r="H124" s="44" t="s">
        <v>200</v>
      </c>
      <c r="I124" s="46">
        <v>44861</v>
      </c>
      <c r="J124" s="46">
        <v>44863</v>
      </c>
      <c r="K124" s="44" t="s">
        <v>800</v>
      </c>
      <c r="L124" s="44">
        <v>3</v>
      </c>
      <c r="M124" s="44">
        <v>29</v>
      </c>
      <c r="N124" s="44"/>
      <c r="O124" s="55" t="s">
        <v>140</v>
      </c>
      <c r="P124" s="56">
        <v>150000</v>
      </c>
      <c r="Q124" s="56">
        <v>41000</v>
      </c>
      <c r="R124" s="56">
        <v>30000</v>
      </c>
      <c r="S124" s="57"/>
      <c r="T124" s="58"/>
      <c r="U124" s="56">
        <v>150000</v>
      </c>
      <c r="V124" s="56">
        <f t="shared" si="4"/>
        <v>450000</v>
      </c>
      <c r="W124" s="44"/>
      <c r="X124" s="38"/>
      <c r="Y124" s="38"/>
      <c r="Z124" s="38"/>
      <c r="AA124" s="38"/>
      <c r="AB124" s="38"/>
    </row>
    <row r="125" spans="1:28" ht="93.75" customHeight="1" x14ac:dyDescent="0.2">
      <c r="A125" s="26" t="s">
        <v>109</v>
      </c>
      <c r="B125" s="26" t="s">
        <v>608</v>
      </c>
      <c r="C125" s="26" t="s">
        <v>609</v>
      </c>
      <c r="D125" s="26">
        <v>172211</v>
      </c>
      <c r="E125" s="26" t="s">
        <v>610</v>
      </c>
      <c r="F125" s="26" t="s">
        <v>611</v>
      </c>
      <c r="G125" s="26" t="s">
        <v>612</v>
      </c>
      <c r="H125" s="26" t="s">
        <v>120</v>
      </c>
      <c r="I125" s="59">
        <v>44858</v>
      </c>
      <c r="J125" s="59">
        <v>44859</v>
      </c>
      <c r="K125" s="26" t="s">
        <v>613</v>
      </c>
      <c r="L125" s="26">
        <v>2</v>
      </c>
      <c r="M125" s="26">
        <v>25</v>
      </c>
      <c r="N125" s="44"/>
      <c r="O125" s="44" t="s">
        <v>614</v>
      </c>
      <c r="P125" s="39">
        <v>150000</v>
      </c>
      <c r="Q125" s="39">
        <v>20000</v>
      </c>
      <c r="R125" s="39">
        <v>10000</v>
      </c>
      <c r="S125" s="44"/>
      <c r="T125" s="39"/>
      <c r="U125" s="39">
        <v>150000</v>
      </c>
      <c r="V125" s="39">
        <f t="shared" si="4"/>
        <v>300000</v>
      </c>
      <c r="W125" s="44"/>
      <c r="X125" s="38"/>
      <c r="Y125" s="38"/>
      <c r="Z125" s="38"/>
      <c r="AA125" s="38"/>
      <c r="AB125" s="38"/>
    </row>
    <row r="126" spans="1:28" ht="93.75" customHeight="1" x14ac:dyDescent="0.2">
      <c r="A126" s="26" t="s">
        <v>109</v>
      </c>
      <c r="B126" s="26" t="s">
        <v>608</v>
      </c>
      <c r="C126" s="26" t="s">
        <v>615</v>
      </c>
      <c r="D126" s="26">
        <v>172650</v>
      </c>
      <c r="E126" s="26" t="s">
        <v>616</v>
      </c>
      <c r="F126" s="26" t="s">
        <v>617</v>
      </c>
      <c r="G126" s="26" t="s">
        <v>618</v>
      </c>
      <c r="H126" s="26" t="s">
        <v>619</v>
      </c>
      <c r="I126" s="60">
        <v>44866</v>
      </c>
      <c r="J126" s="60">
        <v>44868</v>
      </c>
      <c r="K126" s="26" t="s">
        <v>620</v>
      </c>
      <c r="L126" s="26">
        <v>3</v>
      </c>
      <c r="M126" s="26">
        <v>35</v>
      </c>
      <c r="N126" s="44"/>
      <c r="O126" s="44" t="s">
        <v>140</v>
      </c>
      <c r="P126" s="39">
        <v>150000</v>
      </c>
      <c r="Q126" s="39">
        <v>41000</v>
      </c>
      <c r="R126" s="39">
        <v>20000</v>
      </c>
      <c r="S126" s="44"/>
      <c r="T126" s="39"/>
      <c r="U126" s="39">
        <v>150000</v>
      </c>
      <c r="V126" s="39">
        <f t="shared" si="4"/>
        <v>450000</v>
      </c>
      <c r="W126" s="44"/>
      <c r="X126" s="38"/>
      <c r="Y126" s="38"/>
      <c r="Z126" s="38"/>
      <c r="AA126" s="38"/>
      <c r="AB126" s="38"/>
    </row>
    <row r="127" spans="1:28" ht="93.75" customHeight="1" x14ac:dyDescent="0.2">
      <c r="A127" s="26" t="s">
        <v>109</v>
      </c>
      <c r="B127" s="26" t="s">
        <v>608</v>
      </c>
      <c r="C127" s="26" t="s">
        <v>621</v>
      </c>
      <c r="D127" s="26">
        <v>172687</v>
      </c>
      <c r="E127" s="26" t="s">
        <v>622</v>
      </c>
      <c r="F127" s="26" t="s">
        <v>158</v>
      </c>
      <c r="G127" s="26" t="s">
        <v>623</v>
      </c>
      <c r="H127" s="26" t="s">
        <v>120</v>
      </c>
      <c r="I127" s="60">
        <v>44860</v>
      </c>
      <c r="J127" s="60">
        <v>44862</v>
      </c>
      <c r="K127" s="26" t="s">
        <v>801</v>
      </c>
      <c r="L127" s="26">
        <v>3</v>
      </c>
      <c r="M127" s="26">
        <v>24</v>
      </c>
      <c r="N127" s="44"/>
      <c r="O127" s="44" t="s">
        <v>140</v>
      </c>
      <c r="P127" s="39">
        <v>150000</v>
      </c>
      <c r="Q127" s="39">
        <v>41000</v>
      </c>
      <c r="R127" s="39">
        <v>30000</v>
      </c>
      <c r="S127" s="44"/>
      <c r="T127" s="39"/>
      <c r="U127" s="39">
        <v>150000</v>
      </c>
      <c r="V127" s="39">
        <f t="shared" si="4"/>
        <v>450000</v>
      </c>
      <c r="W127" s="44"/>
      <c r="X127" s="38"/>
      <c r="Y127" s="38"/>
      <c r="Z127" s="38"/>
      <c r="AA127" s="38"/>
      <c r="AB127" s="38"/>
    </row>
    <row r="128" spans="1:28" ht="93.75" customHeight="1" x14ac:dyDescent="0.2">
      <c r="A128" s="26" t="s">
        <v>109</v>
      </c>
      <c r="B128" s="26" t="s">
        <v>608</v>
      </c>
      <c r="C128" s="26" t="s">
        <v>624</v>
      </c>
      <c r="D128" s="26">
        <v>172635</v>
      </c>
      <c r="E128" s="26" t="s">
        <v>625</v>
      </c>
      <c r="F128" s="26" t="s">
        <v>626</v>
      </c>
      <c r="G128" s="26" t="s">
        <v>627</v>
      </c>
      <c r="H128" s="26" t="s">
        <v>200</v>
      </c>
      <c r="I128" s="59">
        <v>44867</v>
      </c>
      <c r="J128" s="59">
        <v>44870</v>
      </c>
      <c r="K128" s="26" t="s">
        <v>628</v>
      </c>
      <c r="L128" s="26">
        <v>4</v>
      </c>
      <c r="M128" s="26">
        <v>15</v>
      </c>
      <c r="N128" s="44"/>
      <c r="O128" s="44" t="s">
        <v>140</v>
      </c>
      <c r="P128" s="39">
        <v>40000</v>
      </c>
      <c r="Q128" s="39">
        <v>180000</v>
      </c>
      <c r="R128" s="39">
        <v>75000</v>
      </c>
      <c r="S128" s="44"/>
      <c r="T128" s="39"/>
      <c r="U128" s="39">
        <v>150000</v>
      </c>
      <c r="V128" s="39">
        <f t="shared" si="4"/>
        <v>600000</v>
      </c>
      <c r="W128" s="44"/>
      <c r="X128" s="38"/>
      <c r="Y128" s="38"/>
      <c r="Z128" s="38"/>
      <c r="AA128" s="38"/>
      <c r="AB128" s="38"/>
    </row>
    <row r="129" spans="1:28" ht="93.75" customHeight="1" x14ac:dyDescent="0.2">
      <c r="A129" s="26" t="s">
        <v>109</v>
      </c>
      <c r="B129" s="26" t="s">
        <v>608</v>
      </c>
      <c r="C129" s="44" t="s">
        <v>629</v>
      </c>
      <c r="D129" s="44">
        <v>172672</v>
      </c>
      <c r="E129" s="44" t="s">
        <v>630</v>
      </c>
      <c r="F129" s="44" t="s">
        <v>631</v>
      </c>
      <c r="G129" s="44" t="s">
        <v>632</v>
      </c>
      <c r="H129" s="44" t="s">
        <v>200</v>
      </c>
      <c r="I129" s="48">
        <v>44867</v>
      </c>
      <c r="J129" s="48">
        <v>44870</v>
      </c>
      <c r="K129" s="44" t="s">
        <v>633</v>
      </c>
      <c r="L129" s="44">
        <v>4</v>
      </c>
      <c r="M129" s="44">
        <v>15</v>
      </c>
      <c r="N129" s="44"/>
      <c r="O129" s="44"/>
      <c r="P129" s="39"/>
      <c r="Q129" s="39"/>
      <c r="R129" s="39"/>
      <c r="S129" s="44"/>
      <c r="T129" s="39">
        <v>7960000</v>
      </c>
      <c r="U129" s="39">
        <v>150000</v>
      </c>
      <c r="V129" s="39">
        <f t="shared" si="4"/>
        <v>600000</v>
      </c>
      <c r="W129" s="44"/>
      <c r="X129" s="38"/>
      <c r="Y129" s="38"/>
      <c r="Z129" s="38"/>
      <c r="AA129" s="38"/>
      <c r="AB129" s="38"/>
    </row>
    <row r="130" spans="1:28" ht="93.75" customHeight="1" x14ac:dyDescent="0.2">
      <c r="A130" s="26" t="s">
        <v>109</v>
      </c>
      <c r="B130" s="26" t="s">
        <v>608</v>
      </c>
      <c r="C130" s="44" t="s">
        <v>634</v>
      </c>
      <c r="D130" s="44">
        <v>172670</v>
      </c>
      <c r="E130" s="44" t="s">
        <v>635</v>
      </c>
      <c r="F130" s="44" t="s">
        <v>636</v>
      </c>
      <c r="G130" s="44" t="s">
        <v>637</v>
      </c>
      <c r="H130" s="44" t="s">
        <v>200</v>
      </c>
      <c r="I130" s="48">
        <v>44874</v>
      </c>
      <c r="J130" s="46">
        <v>44877</v>
      </c>
      <c r="K130" s="44" t="s">
        <v>802</v>
      </c>
      <c r="L130" s="44">
        <v>4</v>
      </c>
      <c r="M130" s="44">
        <v>25</v>
      </c>
      <c r="N130" s="44"/>
      <c r="O130" s="44" t="s">
        <v>194</v>
      </c>
      <c r="P130" s="39">
        <v>500000</v>
      </c>
      <c r="Q130" s="39">
        <v>300000</v>
      </c>
      <c r="R130" s="39">
        <v>75000</v>
      </c>
      <c r="S130" s="44"/>
      <c r="T130" s="39"/>
      <c r="U130" s="39">
        <v>150000</v>
      </c>
      <c r="V130" s="39">
        <f t="shared" si="4"/>
        <v>600000</v>
      </c>
      <c r="W130" s="44"/>
      <c r="X130" s="38"/>
      <c r="Y130" s="38"/>
      <c r="Z130" s="38"/>
      <c r="AA130" s="38"/>
      <c r="AB130" s="38"/>
    </row>
    <row r="131" spans="1:28" ht="93.75" customHeight="1" x14ac:dyDescent="0.2">
      <c r="A131" s="26" t="s">
        <v>109</v>
      </c>
      <c r="B131" s="26" t="s">
        <v>608</v>
      </c>
      <c r="C131" s="44" t="s">
        <v>638</v>
      </c>
      <c r="D131" s="44" t="s">
        <v>639</v>
      </c>
      <c r="E131" s="44" t="s">
        <v>640</v>
      </c>
      <c r="F131" s="44" t="s">
        <v>641</v>
      </c>
      <c r="G131" s="44" t="s">
        <v>642</v>
      </c>
      <c r="H131" s="44" t="s">
        <v>200</v>
      </c>
      <c r="I131" s="46">
        <v>44875</v>
      </c>
      <c r="J131" s="46">
        <v>44878</v>
      </c>
      <c r="K131" s="44" t="s">
        <v>643</v>
      </c>
      <c r="L131" s="44">
        <v>4</v>
      </c>
      <c r="M131" s="44">
        <v>28</v>
      </c>
      <c r="N131" s="44"/>
      <c r="O131" s="44" t="s">
        <v>140</v>
      </c>
      <c r="P131" s="39">
        <v>400000</v>
      </c>
      <c r="Q131" s="39">
        <v>180000</v>
      </c>
      <c r="R131" s="39">
        <v>75000</v>
      </c>
      <c r="S131" s="44"/>
      <c r="T131" s="39"/>
      <c r="U131" s="39">
        <v>150000</v>
      </c>
      <c r="V131" s="39">
        <f t="shared" si="4"/>
        <v>600000</v>
      </c>
      <c r="W131" s="44"/>
      <c r="X131" s="38"/>
      <c r="Y131" s="38"/>
      <c r="Z131" s="38"/>
      <c r="AA131" s="38"/>
      <c r="AB131" s="38"/>
    </row>
    <row r="132" spans="1:28" ht="93.75" customHeight="1" x14ac:dyDescent="0.2">
      <c r="A132" s="44" t="s">
        <v>109</v>
      </c>
      <c r="B132" s="44" t="s">
        <v>644</v>
      </c>
      <c r="C132" s="44" t="s">
        <v>645</v>
      </c>
      <c r="D132" s="44" t="s">
        <v>646</v>
      </c>
      <c r="E132" s="44" t="s">
        <v>647</v>
      </c>
      <c r="F132" s="44" t="s">
        <v>648</v>
      </c>
      <c r="G132" s="44" t="s">
        <v>649</v>
      </c>
      <c r="H132" s="44" t="s">
        <v>650</v>
      </c>
      <c r="I132" s="46">
        <v>44706</v>
      </c>
      <c r="J132" s="46">
        <v>44708</v>
      </c>
      <c r="K132" s="44" t="s">
        <v>651</v>
      </c>
      <c r="L132" s="44">
        <v>3</v>
      </c>
      <c r="M132" s="44">
        <f>35+36+30</f>
        <v>101</v>
      </c>
      <c r="N132" s="44"/>
      <c r="O132" s="44" t="s">
        <v>652</v>
      </c>
      <c r="P132" s="39">
        <v>400000</v>
      </c>
      <c r="Q132" s="39">
        <v>82000</v>
      </c>
      <c r="R132" s="39">
        <v>60000</v>
      </c>
      <c r="S132" s="44"/>
      <c r="T132" s="39"/>
      <c r="U132" s="39">
        <v>150000</v>
      </c>
      <c r="V132" s="39">
        <f t="shared" si="4"/>
        <v>450000</v>
      </c>
      <c r="W132" s="44"/>
      <c r="X132" s="38"/>
      <c r="Y132" s="38"/>
      <c r="Z132" s="38"/>
      <c r="AA132" s="38"/>
      <c r="AB132" s="38"/>
    </row>
    <row r="133" spans="1:28" ht="93.75" customHeight="1" x14ac:dyDescent="0.2">
      <c r="A133" s="44" t="s">
        <v>109</v>
      </c>
      <c r="B133" s="44" t="s">
        <v>644</v>
      </c>
      <c r="C133" s="44" t="s">
        <v>653</v>
      </c>
      <c r="D133" s="44" t="s">
        <v>654</v>
      </c>
      <c r="E133" s="44" t="s">
        <v>655</v>
      </c>
      <c r="F133" s="44" t="s">
        <v>656</v>
      </c>
      <c r="G133" s="44" t="s">
        <v>657</v>
      </c>
      <c r="H133" s="44" t="s">
        <v>115</v>
      </c>
      <c r="I133" s="46">
        <v>44844</v>
      </c>
      <c r="J133" s="46">
        <v>44846</v>
      </c>
      <c r="K133" s="44" t="s">
        <v>658</v>
      </c>
      <c r="L133" s="44">
        <v>3</v>
      </c>
      <c r="M133" s="44">
        <f t="shared" ref="M133:M134" si="5">30+45</f>
        <v>75</v>
      </c>
      <c r="N133" s="44"/>
      <c r="O133" s="44" t="s">
        <v>659</v>
      </c>
      <c r="P133" s="39">
        <v>800000</v>
      </c>
      <c r="Q133" s="39">
        <v>360000</v>
      </c>
      <c r="R133" s="39">
        <v>100000</v>
      </c>
      <c r="S133" s="44"/>
      <c r="T133" s="39"/>
      <c r="U133" s="39">
        <v>329834</v>
      </c>
      <c r="V133" s="39">
        <f t="shared" si="4"/>
        <v>989502</v>
      </c>
      <c r="W133" s="44"/>
      <c r="X133" s="38"/>
      <c r="Y133" s="38"/>
      <c r="Z133" s="38"/>
      <c r="AA133" s="38"/>
      <c r="AB133" s="38"/>
    </row>
    <row r="134" spans="1:28" ht="93.75" customHeight="1" x14ac:dyDescent="0.2">
      <c r="A134" s="44" t="s">
        <v>109</v>
      </c>
      <c r="B134" s="44" t="s">
        <v>644</v>
      </c>
      <c r="C134" s="44" t="s">
        <v>653</v>
      </c>
      <c r="D134" s="44" t="s">
        <v>654</v>
      </c>
      <c r="E134" s="44" t="s">
        <v>655</v>
      </c>
      <c r="F134" s="44" t="s">
        <v>656</v>
      </c>
      <c r="G134" s="44" t="s">
        <v>660</v>
      </c>
      <c r="H134" s="44" t="s">
        <v>661</v>
      </c>
      <c r="I134" s="46">
        <v>44844</v>
      </c>
      <c r="J134" s="46">
        <v>44846</v>
      </c>
      <c r="K134" s="44" t="s">
        <v>658</v>
      </c>
      <c r="L134" s="44">
        <v>3</v>
      </c>
      <c r="M134" s="44">
        <f t="shared" si="5"/>
        <v>75</v>
      </c>
      <c r="N134" s="44"/>
      <c r="O134" s="44"/>
      <c r="P134" s="39"/>
      <c r="Q134" s="39"/>
      <c r="R134" s="39"/>
      <c r="S134" s="44"/>
      <c r="T134" s="39"/>
      <c r="U134" s="39">
        <v>150000</v>
      </c>
      <c r="V134" s="39">
        <f t="shared" si="4"/>
        <v>450000</v>
      </c>
      <c r="W134" s="44"/>
      <c r="X134" s="38"/>
      <c r="Y134" s="38"/>
      <c r="Z134" s="38"/>
      <c r="AA134" s="38"/>
      <c r="AB134" s="38"/>
    </row>
    <row r="135" spans="1:28" ht="93.75" customHeight="1" x14ac:dyDescent="0.2">
      <c r="A135" s="44" t="s">
        <v>109</v>
      </c>
      <c r="B135" s="44" t="s">
        <v>644</v>
      </c>
      <c r="C135" s="44" t="s">
        <v>662</v>
      </c>
      <c r="D135" s="44" t="s">
        <v>663</v>
      </c>
      <c r="E135" s="44" t="s">
        <v>664</v>
      </c>
      <c r="F135" s="44" t="s">
        <v>665</v>
      </c>
      <c r="G135" s="44" t="s">
        <v>666</v>
      </c>
      <c r="H135" s="44" t="s">
        <v>667</v>
      </c>
      <c r="I135" s="48">
        <v>44867</v>
      </c>
      <c r="J135" s="48">
        <v>44869</v>
      </c>
      <c r="K135" s="44" t="s">
        <v>668</v>
      </c>
      <c r="L135" s="44">
        <v>3</v>
      </c>
      <c r="M135" s="44">
        <f>26+21+32+13</f>
        <v>92</v>
      </c>
      <c r="N135" s="44"/>
      <c r="O135" s="44"/>
      <c r="P135" s="39"/>
      <c r="Q135" s="39"/>
      <c r="R135" s="39"/>
      <c r="S135" s="44"/>
      <c r="T135" s="39">
        <v>9960000</v>
      </c>
      <c r="U135" s="39">
        <v>150000</v>
      </c>
      <c r="V135" s="39">
        <f t="shared" si="4"/>
        <v>450000</v>
      </c>
      <c r="W135" s="44"/>
      <c r="X135" s="38"/>
      <c r="Y135" s="38"/>
      <c r="Z135" s="38"/>
      <c r="AA135" s="38"/>
      <c r="AB135" s="38"/>
    </row>
    <row r="136" spans="1:28" ht="93.75" customHeight="1" x14ac:dyDescent="0.2">
      <c r="A136" s="44" t="s">
        <v>109</v>
      </c>
      <c r="B136" s="44" t="s">
        <v>644</v>
      </c>
      <c r="C136" s="44" t="s">
        <v>669</v>
      </c>
      <c r="D136" s="44">
        <v>172856</v>
      </c>
      <c r="E136" s="44" t="s">
        <v>670</v>
      </c>
      <c r="F136" s="44" t="s">
        <v>671</v>
      </c>
      <c r="G136" s="44" t="s">
        <v>672</v>
      </c>
      <c r="H136" s="44" t="s">
        <v>118</v>
      </c>
      <c r="I136" s="48">
        <v>44874</v>
      </c>
      <c r="J136" s="46">
        <v>44784</v>
      </c>
      <c r="K136" s="44" t="s">
        <v>673</v>
      </c>
      <c r="L136" s="44">
        <v>3</v>
      </c>
      <c r="M136" s="44">
        <v>13</v>
      </c>
      <c r="N136" s="44"/>
      <c r="O136" s="44"/>
      <c r="P136" s="39"/>
      <c r="Q136" s="39"/>
      <c r="R136" s="39"/>
      <c r="S136" s="44"/>
      <c r="T136" s="39">
        <v>6210000</v>
      </c>
      <c r="U136" s="39">
        <v>150000</v>
      </c>
      <c r="V136" s="39">
        <f t="shared" si="4"/>
        <v>450000</v>
      </c>
      <c r="W136" s="44"/>
      <c r="X136" s="38"/>
      <c r="Y136" s="38"/>
      <c r="Z136" s="38"/>
      <c r="AA136" s="38"/>
      <c r="AB136" s="38"/>
    </row>
    <row r="137" spans="1:28" ht="93.75" customHeight="1" x14ac:dyDescent="0.2">
      <c r="A137" s="44" t="s">
        <v>109</v>
      </c>
      <c r="B137" s="44" t="s">
        <v>674</v>
      </c>
      <c r="C137" s="44" t="s">
        <v>675</v>
      </c>
      <c r="D137" s="26">
        <v>172554</v>
      </c>
      <c r="E137" s="44" t="s">
        <v>676</v>
      </c>
      <c r="F137" s="44" t="s">
        <v>677</v>
      </c>
      <c r="G137" s="44" t="s">
        <v>678</v>
      </c>
      <c r="H137" s="44" t="s">
        <v>679</v>
      </c>
      <c r="I137" s="46">
        <v>44874</v>
      </c>
      <c r="J137" s="46">
        <v>44877</v>
      </c>
      <c r="K137" s="44" t="s">
        <v>680</v>
      </c>
      <c r="L137" s="44">
        <v>4</v>
      </c>
      <c r="M137" s="44">
        <v>27</v>
      </c>
      <c r="N137" s="44"/>
      <c r="O137" s="44"/>
      <c r="P137" s="39"/>
      <c r="Q137" s="39"/>
      <c r="R137" s="39"/>
      <c r="S137" s="44"/>
      <c r="T137" s="39">
        <v>9920000</v>
      </c>
      <c r="U137" s="39">
        <v>150000</v>
      </c>
      <c r="V137" s="39">
        <f t="shared" si="4"/>
        <v>600000</v>
      </c>
      <c r="W137" s="44"/>
      <c r="X137" s="38"/>
      <c r="Y137" s="38"/>
      <c r="Z137" s="38"/>
      <c r="AA137" s="38"/>
      <c r="AB137" s="38"/>
    </row>
    <row r="138" spans="1:28" ht="93.75" customHeight="1" x14ac:dyDescent="0.2">
      <c r="A138" s="44" t="s">
        <v>109</v>
      </c>
      <c r="B138" s="44" t="s">
        <v>674</v>
      </c>
      <c r="C138" s="44" t="s">
        <v>681</v>
      </c>
      <c r="D138" s="44">
        <v>173161</v>
      </c>
      <c r="E138" s="44" t="s">
        <v>682</v>
      </c>
      <c r="F138" s="44" t="s">
        <v>683</v>
      </c>
      <c r="G138" s="44" t="s">
        <v>684</v>
      </c>
      <c r="H138" s="44" t="s">
        <v>685</v>
      </c>
      <c r="I138" s="48">
        <v>44866</v>
      </c>
      <c r="J138" s="48">
        <v>44869</v>
      </c>
      <c r="K138" s="44" t="s">
        <v>217</v>
      </c>
      <c r="L138" s="44">
        <v>4</v>
      </c>
      <c r="M138" s="44">
        <f>12</f>
        <v>12</v>
      </c>
      <c r="N138" s="44"/>
      <c r="O138" s="44" t="s">
        <v>211</v>
      </c>
      <c r="P138" s="39">
        <v>400000</v>
      </c>
      <c r="Q138" s="39">
        <v>180000</v>
      </c>
      <c r="R138" s="39">
        <v>75000</v>
      </c>
      <c r="S138" s="44"/>
      <c r="T138" s="39"/>
      <c r="U138" s="39">
        <v>329834</v>
      </c>
      <c r="V138" s="39">
        <f t="shared" si="4"/>
        <v>1319336</v>
      </c>
      <c r="W138" s="44"/>
      <c r="X138" s="38"/>
      <c r="Y138" s="38"/>
      <c r="Z138" s="38"/>
      <c r="AA138" s="38"/>
      <c r="AB138" s="38"/>
    </row>
    <row r="139" spans="1:28" ht="93.75" customHeight="1" x14ac:dyDescent="0.2">
      <c r="A139" s="44" t="s">
        <v>109</v>
      </c>
      <c r="B139" s="44" t="s">
        <v>674</v>
      </c>
      <c r="C139" s="44" t="s">
        <v>686</v>
      </c>
      <c r="D139" s="44">
        <v>172549</v>
      </c>
      <c r="E139" s="44" t="s">
        <v>687</v>
      </c>
      <c r="F139" s="44" t="s">
        <v>688</v>
      </c>
      <c r="G139" s="44" t="s">
        <v>689</v>
      </c>
      <c r="H139" s="44" t="s">
        <v>115</v>
      </c>
      <c r="I139" s="48">
        <v>44869</v>
      </c>
      <c r="J139" s="48">
        <v>44869</v>
      </c>
      <c r="K139" s="44" t="s">
        <v>690</v>
      </c>
      <c r="L139" s="44">
        <v>1</v>
      </c>
      <c r="M139" s="44">
        <v>41</v>
      </c>
      <c r="N139" s="44"/>
      <c r="O139" s="44"/>
      <c r="P139" s="39"/>
      <c r="Q139" s="39"/>
      <c r="R139" s="39"/>
      <c r="S139" s="44"/>
      <c r="T139" s="39">
        <v>1640000</v>
      </c>
      <c r="U139" s="39">
        <v>150000</v>
      </c>
      <c r="V139" s="39">
        <f t="shared" si="4"/>
        <v>150000</v>
      </c>
      <c r="W139" s="44"/>
      <c r="X139" s="38"/>
      <c r="Y139" s="38"/>
      <c r="Z139" s="38"/>
      <c r="AA139" s="38"/>
      <c r="AB139" s="38"/>
    </row>
    <row r="140" spans="1:28" ht="93.75" customHeight="1" x14ac:dyDescent="0.2">
      <c r="A140" s="44" t="s">
        <v>109</v>
      </c>
      <c r="B140" s="44" t="s">
        <v>691</v>
      </c>
      <c r="C140" s="44" t="s">
        <v>692</v>
      </c>
      <c r="D140" s="44" t="s">
        <v>693</v>
      </c>
      <c r="E140" s="44" t="s">
        <v>694</v>
      </c>
      <c r="F140" s="44" t="s">
        <v>695</v>
      </c>
      <c r="G140" s="44" t="s">
        <v>696</v>
      </c>
      <c r="H140" s="44" t="s">
        <v>697</v>
      </c>
      <c r="I140" s="46">
        <v>44833</v>
      </c>
      <c r="J140" s="46">
        <v>44834</v>
      </c>
      <c r="K140" s="44" t="s">
        <v>698</v>
      </c>
      <c r="L140" s="44">
        <v>2</v>
      </c>
      <c r="M140" s="44">
        <f>8+5</f>
        <v>13</v>
      </c>
      <c r="N140" s="44"/>
      <c r="O140" s="44" t="s">
        <v>218</v>
      </c>
      <c r="P140" s="39">
        <v>400000</v>
      </c>
      <c r="Q140" s="39">
        <v>180000</v>
      </c>
      <c r="R140" s="39">
        <v>40000</v>
      </c>
      <c r="S140" s="44"/>
      <c r="T140" s="39"/>
      <c r="U140" s="39">
        <v>150000</v>
      </c>
      <c r="V140" s="39">
        <f t="shared" si="4"/>
        <v>300000</v>
      </c>
      <c r="W140" s="44"/>
      <c r="X140" s="38"/>
      <c r="Y140" s="38"/>
      <c r="Z140" s="38"/>
      <c r="AA140" s="38"/>
      <c r="AB140" s="38"/>
    </row>
    <row r="141" spans="1:28" ht="93.75" customHeight="1" x14ac:dyDescent="0.2">
      <c r="A141" s="44" t="s">
        <v>109</v>
      </c>
      <c r="B141" s="44" t="s">
        <v>691</v>
      </c>
      <c r="C141" s="44" t="s">
        <v>699</v>
      </c>
      <c r="D141" s="44">
        <v>172996</v>
      </c>
      <c r="E141" s="44" t="s">
        <v>700</v>
      </c>
      <c r="F141" s="44" t="s">
        <v>701</v>
      </c>
      <c r="G141" s="44" t="s">
        <v>702</v>
      </c>
      <c r="H141" s="44" t="s">
        <v>120</v>
      </c>
      <c r="I141" s="46">
        <v>44889</v>
      </c>
      <c r="J141" s="46">
        <v>44890</v>
      </c>
      <c r="K141" s="44" t="s">
        <v>703</v>
      </c>
      <c r="L141" s="44">
        <v>2</v>
      </c>
      <c r="M141" s="44">
        <v>45</v>
      </c>
      <c r="N141" s="44"/>
      <c r="O141" s="44"/>
      <c r="P141" s="39"/>
      <c r="Q141" s="39"/>
      <c r="R141" s="39"/>
      <c r="S141" s="44"/>
      <c r="T141" s="39">
        <v>8700000</v>
      </c>
      <c r="U141" s="39">
        <v>150000</v>
      </c>
      <c r="V141" s="39">
        <f t="shared" si="4"/>
        <v>300000</v>
      </c>
      <c r="W141" s="44"/>
      <c r="X141" s="38"/>
      <c r="Y141" s="38"/>
      <c r="Z141" s="38"/>
      <c r="AA141" s="38"/>
      <c r="AB141" s="38"/>
    </row>
    <row r="142" spans="1:28" ht="93.75" customHeight="1" x14ac:dyDescent="0.2">
      <c r="A142" s="44" t="s">
        <v>109</v>
      </c>
      <c r="B142" s="44" t="s">
        <v>691</v>
      </c>
      <c r="C142" s="44" t="s">
        <v>704</v>
      </c>
      <c r="D142" s="44" t="s">
        <v>705</v>
      </c>
      <c r="E142" s="44" t="s">
        <v>706</v>
      </c>
      <c r="F142" s="44" t="s">
        <v>707</v>
      </c>
      <c r="G142" s="44" t="s">
        <v>708</v>
      </c>
      <c r="H142" s="44" t="s">
        <v>115</v>
      </c>
      <c r="I142" s="46">
        <v>44889</v>
      </c>
      <c r="J142" s="46">
        <v>44890</v>
      </c>
      <c r="K142" s="44" t="s">
        <v>709</v>
      </c>
      <c r="L142" s="44">
        <v>2</v>
      </c>
      <c r="M142" s="44">
        <f>18+18</f>
        <v>36</v>
      </c>
      <c r="N142" s="44"/>
      <c r="O142" s="44"/>
      <c r="P142" s="39"/>
      <c r="Q142" s="39"/>
      <c r="R142" s="39"/>
      <c r="S142" s="44"/>
      <c r="T142" s="39">
        <v>3280000</v>
      </c>
      <c r="U142" s="39">
        <v>150000</v>
      </c>
      <c r="V142" s="39">
        <f t="shared" si="4"/>
        <v>300000</v>
      </c>
      <c r="W142" s="44"/>
      <c r="X142" s="38"/>
      <c r="Y142" s="38"/>
      <c r="Z142" s="38"/>
      <c r="AA142" s="38"/>
      <c r="AB142" s="38"/>
    </row>
    <row r="143" spans="1:28" ht="93.75" customHeight="1" x14ac:dyDescent="0.2">
      <c r="A143" s="44" t="s">
        <v>109</v>
      </c>
      <c r="B143" s="44" t="s">
        <v>691</v>
      </c>
      <c r="C143" s="44" t="s">
        <v>710</v>
      </c>
      <c r="D143" s="44">
        <v>172988</v>
      </c>
      <c r="E143" s="44" t="s">
        <v>711</v>
      </c>
      <c r="F143" s="44" t="s">
        <v>712</v>
      </c>
      <c r="G143" s="44" t="s">
        <v>713</v>
      </c>
      <c r="H143" s="44" t="s">
        <v>120</v>
      </c>
      <c r="I143" s="46">
        <v>44892</v>
      </c>
      <c r="J143" s="46">
        <v>44893</v>
      </c>
      <c r="K143" s="44" t="s">
        <v>714</v>
      </c>
      <c r="L143" s="44">
        <v>2</v>
      </c>
      <c r="M143" s="44">
        <v>34</v>
      </c>
      <c r="N143" s="44"/>
      <c r="O143" s="44" t="s">
        <v>218</v>
      </c>
      <c r="P143" s="39">
        <v>150000</v>
      </c>
      <c r="Q143" s="39">
        <v>41000</v>
      </c>
      <c r="R143" s="39">
        <v>20000</v>
      </c>
      <c r="S143" s="44"/>
      <c r="T143" s="39"/>
      <c r="U143" s="39">
        <v>150000</v>
      </c>
      <c r="V143" s="39">
        <f t="shared" si="4"/>
        <v>300000</v>
      </c>
      <c r="W143" s="44"/>
      <c r="X143" s="38"/>
      <c r="Y143" s="38"/>
      <c r="Z143" s="38"/>
      <c r="AA143" s="38"/>
      <c r="AB143" s="38"/>
    </row>
    <row r="144" spans="1:28" ht="93.75" customHeight="1" x14ac:dyDescent="0.2">
      <c r="A144" s="44" t="s">
        <v>109</v>
      </c>
      <c r="B144" s="44" t="s">
        <v>691</v>
      </c>
      <c r="C144" s="44" t="s">
        <v>715</v>
      </c>
      <c r="D144" s="44" t="s">
        <v>716</v>
      </c>
      <c r="E144" s="44" t="s">
        <v>717</v>
      </c>
      <c r="F144" s="44" t="s">
        <v>715</v>
      </c>
      <c r="G144" s="44" t="s">
        <v>718</v>
      </c>
      <c r="H144" s="44" t="s">
        <v>115</v>
      </c>
      <c r="I144" s="48">
        <v>44896</v>
      </c>
      <c r="J144" s="48">
        <v>44898</v>
      </c>
      <c r="K144" s="44" t="s">
        <v>719</v>
      </c>
      <c r="L144" s="44">
        <v>3</v>
      </c>
      <c r="M144" s="44">
        <f>13+9</f>
        <v>22</v>
      </c>
      <c r="N144" s="44"/>
      <c r="O144" s="44" t="s">
        <v>241</v>
      </c>
      <c r="P144" s="39">
        <v>400000</v>
      </c>
      <c r="Q144" s="39">
        <v>250000</v>
      </c>
      <c r="R144" s="39">
        <v>60000</v>
      </c>
      <c r="S144" s="44"/>
      <c r="T144" s="39"/>
      <c r="U144" s="39">
        <v>329834</v>
      </c>
      <c r="V144" s="39">
        <f t="shared" si="4"/>
        <v>989502</v>
      </c>
      <c r="W144" s="44"/>
      <c r="X144" s="38"/>
      <c r="Y144" s="38"/>
      <c r="Z144" s="38"/>
      <c r="AA144" s="38"/>
      <c r="AB144" s="38"/>
    </row>
    <row r="145" spans="1:28" ht="93.75" customHeight="1" x14ac:dyDescent="0.2">
      <c r="A145" s="44" t="s">
        <v>109</v>
      </c>
      <c r="B145" s="44" t="s">
        <v>23</v>
      </c>
      <c r="C145" s="44" t="s">
        <v>720</v>
      </c>
      <c r="D145" s="44" t="s">
        <v>721</v>
      </c>
      <c r="E145" s="44" t="s">
        <v>722</v>
      </c>
      <c r="F145" s="44" t="s">
        <v>803</v>
      </c>
      <c r="G145" s="44" t="s">
        <v>723</v>
      </c>
      <c r="H145" s="44" t="s">
        <v>120</v>
      </c>
      <c r="I145" s="46">
        <v>44869</v>
      </c>
      <c r="J145" s="46">
        <v>44869</v>
      </c>
      <c r="K145" s="44" t="s">
        <v>804</v>
      </c>
      <c r="L145" s="44">
        <v>1</v>
      </c>
      <c r="M145" s="44">
        <v>29</v>
      </c>
      <c r="N145" s="44"/>
      <c r="O145" s="44"/>
      <c r="P145" s="39"/>
      <c r="Q145" s="39"/>
      <c r="R145" s="39"/>
      <c r="S145" s="44"/>
      <c r="T145" s="39">
        <v>800000</v>
      </c>
      <c r="U145" s="39">
        <v>150000</v>
      </c>
      <c r="V145" s="39">
        <f t="shared" si="4"/>
        <v>150000</v>
      </c>
      <c r="W145" s="44"/>
      <c r="X145" s="38"/>
      <c r="Y145" s="38"/>
      <c r="Z145" s="38"/>
      <c r="AA145" s="38"/>
      <c r="AB145" s="38"/>
    </row>
    <row r="146" spans="1:28" ht="93.75" customHeight="1" x14ac:dyDescent="0.2">
      <c r="A146" s="44" t="s">
        <v>109</v>
      </c>
      <c r="B146" s="44" t="s">
        <v>23</v>
      </c>
      <c r="C146" s="44" t="s">
        <v>720</v>
      </c>
      <c r="D146" s="44" t="s">
        <v>721</v>
      </c>
      <c r="E146" s="44" t="s">
        <v>722</v>
      </c>
      <c r="F146" s="44" t="s">
        <v>805</v>
      </c>
      <c r="G146" s="44" t="s">
        <v>723</v>
      </c>
      <c r="H146" s="44" t="s">
        <v>120</v>
      </c>
      <c r="I146" s="46">
        <v>44868</v>
      </c>
      <c r="J146" s="46">
        <v>44868</v>
      </c>
      <c r="K146" s="44" t="s">
        <v>804</v>
      </c>
      <c r="L146" s="44">
        <v>1</v>
      </c>
      <c r="M146" s="44">
        <v>29</v>
      </c>
      <c r="N146" s="44"/>
      <c r="O146" s="44"/>
      <c r="P146" s="39"/>
      <c r="Q146" s="39"/>
      <c r="R146" s="39"/>
      <c r="S146" s="44"/>
      <c r="T146" s="39">
        <v>800000</v>
      </c>
      <c r="U146" s="39">
        <v>150000</v>
      </c>
      <c r="V146" s="39">
        <f t="shared" si="4"/>
        <v>150000</v>
      </c>
      <c r="W146" s="44"/>
      <c r="X146" s="38"/>
      <c r="Y146" s="38"/>
      <c r="Z146" s="38"/>
      <c r="AA146" s="38"/>
      <c r="AB146" s="38"/>
    </row>
    <row r="147" spans="1:28" ht="93.75" customHeight="1" x14ac:dyDescent="0.2">
      <c r="A147" s="44" t="s">
        <v>11</v>
      </c>
      <c r="B147" s="44" t="s">
        <v>806</v>
      </c>
      <c r="C147" s="44" t="s">
        <v>807</v>
      </c>
      <c r="D147" s="44">
        <v>175304</v>
      </c>
      <c r="E147" s="44" t="s">
        <v>808</v>
      </c>
      <c r="F147" s="44" t="s">
        <v>809</v>
      </c>
      <c r="G147" s="44" t="s">
        <v>810</v>
      </c>
      <c r="H147" s="44" t="s">
        <v>200</v>
      </c>
      <c r="I147" s="46">
        <v>44982</v>
      </c>
      <c r="J147" s="46">
        <v>44982</v>
      </c>
      <c r="K147" s="44" t="s">
        <v>811</v>
      </c>
      <c r="L147" s="44">
        <v>1</v>
      </c>
      <c r="M147" s="44">
        <v>42</v>
      </c>
      <c r="N147" s="44"/>
      <c r="O147" s="44"/>
      <c r="P147" s="39"/>
      <c r="Q147" s="39"/>
      <c r="R147" s="39"/>
      <c r="S147" s="44"/>
      <c r="T147" s="39">
        <v>1050000</v>
      </c>
      <c r="U147" s="39"/>
      <c r="V147" s="44"/>
      <c r="W147" s="44"/>
      <c r="X147" s="38"/>
      <c r="Y147" s="38"/>
      <c r="Z147" s="38"/>
      <c r="AA147" s="38"/>
      <c r="AB147" s="38"/>
    </row>
    <row r="148" spans="1:28" ht="93.75" customHeight="1" x14ac:dyDescent="0.2">
      <c r="A148" s="44" t="s">
        <v>109</v>
      </c>
      <c r="B148" s="44" t="s">
        <v>724</v>
      </c>
      <c r="C148" s="44" t="s">
        <v>725</v>
      </c>
      <c r="D148" s="44">
        <v>172292</v>
      </c>
      <c r="E148" s="44" t="s">
        <v>726</v>
      </c>
      <c r="F148" s="44" t="s">
        <v>727</v>
      </c>
      <c r="G148" s="26" t="s">
        <v>728</v>
      </c>
      <c r="H148" s="26" t="s">
        <v>200</v>
      </c>
      <c r="I148" s="45">
        <v>44845</v>
      </c>
      <c r="J148" s="61">
        <v>44847</v>
      </c>
      <c r="K148" s="44" t="s">
        <v>217</v>
      </c>
      <c r="L148" s="44">
        <v>3</v>
      </c>
      <c r="M148" s="44">
        <v>20</v>
      </c>
      <c r="N148" s="44"/>
      <c r="O148" s="44"/>
      <c r="P148" s="39"/>
      <c r="Q148" s="39"/>
      <c r="R148" s="39"/>
      <c r="S148" s="44"/>
      <c r="T148" s="39">
        <v>7260000</v>
      </c>
      <c r="U148" s="39">
        <v>150000</v>
      </c>
      <c r="V148" s="39">
        <f t="shared" ref="V148:V160" si="6">L148*U148</f>
        <v>450000</v>
      </c>
      <c r="W148" s="44"/>
      <c r="X148" s="38"/>
      <c r="Y148" s="38"/>
      <c r="Z148" s="38"/>
      <c r="AA148" s="38"/>
      <c r="AB148" s="38"/>
    </row>
    <row r="149" spans="1:28" ht="93.75" customHeight="1" x14ac:dyDescent="0.2">
      <c r="A149" s="44" t="s">
        <v>109</v>
      </c>
      <c r="B149" s="44" t="s">
        <v>724</v>
      </c>
      <c r="C149" s="44" t="s">
        <v>725</v>
      </c>
      <c r="D149" s="44">
        <v>174254</v>
      </c>
      <c r="E149" s="44" t="s">
        <v>729</v>
      </c>
      <c r="F149" s="44" t="s">
        <v>730</v>
      </c>
      <c r="G149" s="44" t="s">
        <v>731</v>
      </c>
      <c r="H149" s="44" t="s">
        <v>200</v>
      </c>
      <c r="I149" s="45">
        <v>44845</v>
      </c>
      <c r="J149" s="61">
        <v>44847</v>
      </c>
      <c r="K149" s="44" t="s">
        <v>217</v>
      </c>
      <c r="L149" s="44">
        <v>3</v>
      </c>
      <c r="M149" s="44">
        <v>19</v>
      </c>
      <c r="N149" s="44"/>
      <c r="O149" s="44"/>
      <c r="P149" s="39"/>
      <c r="Q149" s="39"/>
      <c r="R149" s="39"/>
      <c r="S149" s="44"/>
      <c r="T149" s="39">
        <v>7440000</v>
      </c>
      <c r="U149" s="39">
        <v>150000</v>
      </c>
      <c r="V149" s="39">
        <f t="shared" si="6"/>
        <v>450000</v>
      </c>
      <c r="W149" s="44"/>
      <c r="X149" s="38"/>
      <c r="Y149" s="38"/>
      <c r="Z149" s="38"/>
      <c r="AA149" s="38"/>
      <c r="AB149" s="38"/>
    </row>
    <row r="150" spans="1:28" ht="93.75" customHeight="1" x14ac:dyDescent="0.2">
      <c r="A150" s="44" t="s">
        <v>109</v>
      </c>
      <c r="B150" s="44" t="s">
        <v>724</v>
      </c>
      <c r="C150" s="44" t="s">
        <v>725</v>
      </c>
      <c r="D150" s="44">
        <v>174445</v>
      </c>
      <c r="E150" s="44" t="s">
        <v>732</v>
      </c>
      <c r="F150" s="44" t="s">
        <v>733</v>
      </c>
      <c r="G150" s="44" t="s">
        <v>734</v>
      </c>
      <c r="H150" s="44" t="s">
        <v>200</v>
      </c>
      <c r="I150" s="45">
        <v>44845</v>
      </c>
      <c r="J150" s="61">
        <v>44847</v>
      </c>
      <c r="K150" s="44" t="s">
        <v>217</v>
      </c>
      <c r="L150" s="44">
        <v>3</v>
      </c>
      <c r="M150" s="44">
        <v>23</v>
      </c>
      <c r="N150" s="44"/>
      <c r="O150" s="44"/>
      <c r="P150" s="39"/>
      <c r="Q150" s="39"/>
      <c r="R150" s="39"/>
      <c r="S150" s="44"/>
      <c r="T150" s="39">
        <v>7440000</v>
      </c>
      <c r="U150" s="39">
        <v>150000</v>
      </c>
      <c r="V150" s="39">
        <f t="shared" si="6"/>
        <v>450000</v>
      </c>
      <c r="W150" s="44"/>
      <c r="X150" s="38"/>
      <c r="Y150" s="38"/>
      <c r="Z150" s="38"/>
      <c r="AA150" s="38"/>
      <c r="AB150" s="38"/>
    </row>
    <row r="151" spans="1:28" ht="93.75" customHeight="1" x14ac:dyDescent="0.2">
      <c r="A151" s="44" t="s">
        <v>109</v>
      </c>
      <c r="B151" s="44" t="s">
        <v>724</v>
      </c>
      <c r="C151" s="44" t="s">
        <v>735</v>
      </c>
      <c r="D151" s="44">
        <v>174187</v>
      </c>
      <c r="E151" s="44" t="s">
        <v>736</v>
      </c>
      <c r="F151" s="44" t="s">
        <v>737</v>
      </c>
      <c r="G151" s="44" t="s">
        <v>738</v>
      </c>
      <c r="H151" s="44" t="s">
        <v>115</v>
      </c>
      <c r="I151" s="46">
        <v>44863</v>
      </c>
      <c r="J151" s="46">
        <v>44865</v>
      </c>
      <c r="K151" s="44" t="s">
        <v>739</v>
      </c>
      <c r="L151" s="44">
        <v>3</v>
      </c>
      <c r="M151" s="44">
        <v>19</v>
      </c>
      <c r="N151" s="44"/>
      <c r="O151" s="44" t="s">
        <v>121</v>
      </c>
      <c r="P151" s="39">
        <v>400000</v>
      </c>
      <c r="Q151" s="39">
        <v>41000</v>
      </c>
      <c r="R151" s="39">
        <v>40000</v>
      </c>
      <c r="S151" s="44"/>
      <c r="T151" s="39"/>
      <c r="U151" s="39">
        <v>150000</v>
      </c>
      <c r="V151" s="39">
        <f t="shared" si="6"/>
        <v>450000</v>
      </c>
      <c r="W151" s="44"/>
      <c r="X151" s="38"/>
      <c r="Y151" s="38"/>
      <c r="Z151" s="38"/>
      <c r="AA151" s="38"/>
      <c r="AB151" s="38"/>
    </row>
    <row r="152" spans="1:28" ht="93.75" customHeight="1" x14ac:dyDescent="0.2">
      <c r="A152" s="44" t="s">
        <v>109</v>
      </c>
      <c r="B152" s="44" t="s">
        <v>724</v>
      </c>
      <c r="C152" s="44" t="s">
        <v>735</v>
      </c>
      <c r="D152" s="44">
        <v>174252</v>
      </c>
      <c r="E152" s="44" t="s">
        <v>740</v>
      </c>
      <c r="F152" s="44" t="s">
        <v>741</v>
      </c>
      <c r="G152" s="44" t="s">
        <v>734</v>
      </c>
      <c r="H152" s="44" t="s">
        <v>200</v>
      </c>
      <c r="I152" s="46">
        <v>44863</v>
      </c>
      <c r="J152" s="46">
        <v>44865</v>
      </c>
      <c r="K152" s="44" t="s">
        <v>739</v>
      </c>
      <c r="L152" s="44">
        <v>3</v>
      </c>
      <c r="M152" s="44">
        <v>22</v>
      </c>
      <c r="N152" s="44"/>
      <c r="O152" s="44" t="s">
        <v>211</v>
      </c>
      <c r="P152" s="39">
        <v>400000</v>
      </c>
      <c r="Q152" s="39">
        <v>41000</v>
      </c>
      <c r="R152" s="39">
        <v>40000</v>
      </c>
      <c r="S152" s="44"/>
      <c r="T152" s="39"/>
      <c r="U152" s="39">
        <v>150000</v>
      </c>
      <c r="V152" s="39">
        <f t="shared" si="6"/>
        <v>450000</v>
      </c>
      <c r="W152" s="44"/>
      <c r="X152" s="38"/>
      <c r="Y152" s="38"/>
      <c r="Z152" s="38"/>
      <c r="AA152" s="38"/>
      <c r="AB152" s="38"/>
    </row>
    <row r="153" spans="1:28" ht="93.75" customHeight="1" x14ac:dyDescent="0.2">
      <c r="A153" s="44" t="s">
        <v>109</v>
      </c>
      <c r="B153" s="44" t="s">
        <v>724</v>
      </c>
      <c r="C153" s="44" t="s">
        <v>735</v>
      </c>
      <c r="D153" s="44">
        <v>174434</v>
      </c>
      <c r="E153" s="44" t="s">
        <v>742</v>
      </c>
      <c r="F153" s="44" t="s">
        <v>743</v>
      </c>
      <c r="G153" s="44" t="s">
        <v>744</v>
      </c>
      <c r="H153" s="44" t="s">
        <v>200</v>
      </c>
      <c r="I153" s="46">
        <v>44863</v>
      </c>
      <c r="J153" s="46">
        <v>44865</v>
      </c>
      <c r="K153" s="44" t="s">
        <v>739</v>
      </c>
      <c r="L153" s="44">
        <v>3</v>
      </c>
      <c r="M153" s="44">
        <v>15</v>
      </c>
      <c r="N153" s="44"/>
      <c r="O153" s="44"/>
      <c r="P153" s="39"/>
      <c r="Q153" s="39"/>
      <c r="R153" s="39"/>
      <c r="S153" s="44"/>
      <c r="T153" s="39"/>
      <c r="U153" s="39">
        <v>150000</v>
      </c>
      <c r="V153" s="39">
        <f t="shared" si="6"/>
        <v>450000</v>
      </c>
      <c r="W153" s="44"/>
      <c r="X153" s="38"/>
      <c r="Y153" s="38"/>
      <c r="Z153" s="38"/>
      <c r="AA153" s="38"/>
      <c r="AB153" s="38"/>
    </row>
    <row r="154" spans="1:28" ht="93.75" customHeight="1" x14ac:dyDescent="0.2">
      <c r="A154" s="44" t="s">
        <v>109</v>
      </c>
      <c r="B154" s="44" t="s">
        <v>724</v>
      </c>
      <c r="C154" s="44" t="s">
        <v>735</v>
      </c>
      <c r="D154" s="44">
        <v>174432</v>
      </c>
      <c r="E154" s="44" t="s">
        <v>745</v>
      </c>
      <c r="F154" s="44" t="s">
        <v>746</v>
      </c>
      <c r="G154" s="44" t="s">
        <v>728</v>
      </c>
      <c r="H154" s="44" t="s">
        <v>200</v>
      </c>
      <c r="I154" s="46">
        <v>44863</v>
      </c>
      <c r="J154" s="46">
        <v>44865</v>
      </c>
      <c r="K154" s="44" t="s">
        <v>739</v>
      </c>
      <c r="L154" s="44">
        <v>3</v>
      </c>
      <c r="M154" s="44">
        <v>27</v>
      </c>
      <c r="N154" s="44"/>
      <c r="O154" s="44" t="s">
        <v>140</v>
      </c>
      <c r="P154" s="39">
        <v>400000</v>
      </c>
      <c r="Q154" s="39">
        <v>41000</v>
      </c>
      <c r="R154" s="39">
        <v>40000</v>
      </c>
      <c r="S154" s="44"/>
      <c r="T154" s="39"/>
      <c r="U154" s="39">
        <v>150000</v>
      </c>
      <c r="V154" s="39">
        <f t="shared" si="6"/>
        <v>450000</v>
      </c>
      <c r="W154" s="44"/>
      <c r="X154" s="38"/>
      <c r="Y154" s="38"/>
      <c r="Z154" s="38"/>
      <c r="AA154" s="38"/>
      <c r="AB154" s="38"/>
    </row>
    <row r="155" spans="1:28" ht="93.75" customHeight="1" x14ac:dyDescent="0.2">
      <c r="A155" s="44" t="s">
        <v>11</v>
      </c>
      <c r="B155" s="44" t="s">
        <v>747</v>
      </c>
      <c r="C155" s="44" t="s">
        <v>748</v>
      </c>
      <c r="D155" s="44">
        <v>167193</v>
      </c>
      <c r="E155" s="44" t="s">
        <v>749</v>
      </c>
      <c r="F155" s="44" t="s">
        <v>750</v>
      </c>
      <c r="G155" s="44" t="s">
        <v>751</v>
      </c>
      <c r="H155" s="44" t="s">
        <v>120</v>
      </c>
      <c r="I155" s="46">
        <v>44825</v>
      </c>
      <c r="J155" s="46">
        <v>44826</v>
      </c>
      <c r="K155" s="44" t="s">
        <v>752</v>
      </c>
      <c r="L155" s="44">
        <v>2</v>
      </c>
      <c r="M155" s="44">
        <v>32</v>
      </c>
      <c r="N155" s="44"/>
      <c r="O155" s="44" t="s">
        <v>753</v>
      </c>
      <c r="P155" s="39">
        <v>0</v>
      </c>
      <c r="Q155" s="39">
        <v>40000</v>
      </c>
      <c r="R155" s="39">
        <v>0</v>
      </c>
      <c r="S155" s="44"/>
      <c r="T155" s="39"/>
      <c r="U155" s="39">
        <v>150000</v>
      </c>
      <c r="V155" s="39">
        <f t="shared" si="6"/>
        <v>300000</v>
      </c>
      <c r="W155" s="44"/>
      <c r="X155" s="38"/>
      <c r="Y155" s="38"/>
      <c r="Z155" s="38"/>
      <c r="AA155" s="38"/>
      <c r="AB155" s="38"/>
    </row>
    <row r="156" spans="1:28" ht="93.75" customHeight="1" x14ac:dyDescent="0.2">
      <c r="A156" s="44" t="s">
        <v>109</v>
      </c>
      <c r="B156" s="44" t="s">
        <v>754</v>
      </c>
      <c r="C156" s="44" t="s">
        <v>755</v>
      </c>
      <c r="D156" s="44" t="s">
        <v>756</v>
      </c>
      <c r="E156" s="44" t="s">
        <v>757</v>
      </c>
      <c r="F156" s="44" t="s">
        <v>758</v>
      </c>
      <c r="G156" s="44" t="s">
        <v>759</v>
      </c>
      <c r="H156" s="44" t="s">
        <v>760</v>
      </c>
      <c r="I156" s="46">
        <v>44867</v>
      </c>
      <c r="J156" s="46">
        <v>44869</v>
      </c>
      <c r="K156" s="44" t="s">
        <v>761</v>
      </c>
      <c r="L156" s="44">
        <v>3</v>
      </c>
      <c r="M156" s="44">
        <f>31+31</f>
        <v>62</v>
      </c>
      <c r="N156" s="44"/>
      <c r="O156" s="44"/>
      <c r="P156" s="39"/>
      <c r="Q156" s="39"/>
      <c r="R156" s="39"/>
      <c r="S156" s="44"/>
      <c r="T156" s="39">
        <v>12840000</v>
      </c>
      <c r="U156" s="39">
        <v>150000</v>
      </c>
      <c r="V156" s="39">
        <f t="shared" si="6"/>
        <v>450000</v>
      </c>
      <c r="W156" s="44"/>
      <c r="X156" s="38"/>
      <c r="Y156" s="38"/>
      <c r="Z156" s="38"/>
      <c r="AA156" s="38"/>
      <c r="AB156" s="38"/>
    </row>
    <row r="157" spans="1:28" ht="195.75" customHeight="1" x14ac:dyDescent="0.2">
      <c r="A157" s="62" t="s">
        <v>109</v>
      </c>
      <c r="B157" s="63" t="s">
        <v>754</v>
      </c>
      <c r="C157" s="63" t="s">
        <v>812</v>
      </c>
      <c r="D157" s="63" t="s">
        <v>813</v>
      </c>
      <c r="E157" s="63" t="s">
        <v>763</v>
      </c>
      <c r="F157" s="63" t="s">
        <v>814</v>
      </c>
      <c r="G157" s="63" t="s">
        <v>764</v>
      </c>
      <c r="H157" s="64" t="s">
        <v>200</v>
      </c>
      <c r="I157" s="65">
        <v>44882</v>
      </c>
      <c r="J157" s="65">
        <v>44884</v>
      </c>
      <c r="K157" s="63" t="s">
        <v>815</v>
      </c>
      <c r="L157" s="63">
        <v>3</v>
      </c>
      <c r="M157" s="63">
        <v>29</v>
      </c>
      <c r="N157" s="66"/>
      <c r="O157" s="67"/>
      <c r="P157" s="67"/>
      <c r="Q157" s="67"/>
      <c r="R157" s="67"/>
      <c r="S157" s="67"/>
      <c r="T157" s="68">
        <v>7230000</v>
      </c>
      <c r="U157" s="68">
        <v>150000</v>
      </c>
      <c r="V157" s="68">
        <f t="shared" si="6"/>
        <v>450000</v>
      </c>
      <c r="W157" s="69"/>
      <c r="X157" s="70"/>
      <c r="Y157" s="70"/>
      <c r="Z157" s="70"/>
      <c r="AA157" s="70"/>
      <c r="AB157" s="70"/>
    </row>
    <row r="158" spans="1:28" ht="195.75" customHeight="1" x14ac:dyDescent="0.2">
      <c r="A158" s="44" t="s">
        <v>109</v>
      </c>
      <c r="B158" s="44" t="s">
        <v>754</v>
      </c>
      <c r="C158" s="44" t="s">
        <v>762</v>
      </c>
      <c r="D158" s="44">
        <v>173181</v>
      </c>
      <c r="E158" s="44" t="s">
        <v>763</v>
      </c>
      <c r="F158" s="63" t="s">
        <v>814</v>
      </c>
      <c r="G158" s="44" t="s">
        <v>764</v>
      </c>
      <c r="H158" s="44" t="s">
        <v>200</v>
      </c>
      <c r="I158" s="48">
        <v>44868</v>
      </c>
      <c r="J158" s="48">
        <v>44870</v>
      </c>
      <c r="K158" s="44" t="s">
        <v>765</v>
      </c>
      <c r="L158" s="44">
        <v>3</v>
      </c>
      <c r="M158" s="44">
        <v>35</v>
      </c>
      <c r="N158" s="44"/>
      <c r="O158" s="44"/>
      <c r="P158" s="39"/>
      <c r="Q158" s="39"/>
      <c r="R158" s="39"/>
      <c r="S158" s="44"/>
      <c r="T158" s="39">
        <v>5550000</v>
      </c>
      <c r="U158" s="39">
        <v>150000</v>
      </c>
      <c r="V158" s="39">
        <f t="shared" si="6"/>
        <v>450000</v>
      </c>
      <c r="W158" s="44"/>
      <c r="X158" s="38"/>
      <c r="Y158" s="38"/>
      <c r="Z158" s="38"/>
      <c r="AA158" s="38"/>
      <c r="AB158" s="38"/>
    </row>
    <row r="159" spans="1:28" ht="47.25" customHeight="1" x14ac:dyDescent="0.2">
      <c r="A159" s="26" t="s">
        <v>29</v>
      </c>
      <c r="B159" s="26" t="s">
        <v>187</v>
      </c>
      <c r="C159" s="26" t="s">
        <v>188</v>
      </c>
      <c r="D159" s="26">
        <v>173149</v>
      </c>
      <c r="E159" s="26" t="s">
        <v>189</v>
      </c>
      <c r="F159" s="26" t="s">
        <v>190</v>
      </c>
      <c r="G159" s="26" t="s">
        <v>191</v>
      </c>
      <c r="H159" s="26" t="s">
        <v>120</v>
      </c>
      <c r="I159" s="71">
        <v>44873</v>
      </c>
      <c r="J159" s="71">
        <v>44875</v>
      </c>
      <c r="K159" s="26" t="s">
        <v>192</v>
      </c>
      <c r="L159" s="26">
        <v>3</v>
      </c>
      <c r="M159" s="26">
        <v>33</v>
      </c>
      <c r="N159" s="26"/>
      <c r="O159" s="26" t="s">
        <v>193</v>
      </c>
      <c r="P159" s="72">
        <v>400000</v>
      </c>
      <c r="Q159" s="72">
        <v>350000</v>
      </c>
      <c r="R159" s="72">
        <v>40000</v>
      </c>
      <c r="S159" s="72"/>
      <c r="T159" s="26"/>
      <c r="U159" s="39">
        <v>150000</v>
      </c>
      <c r="V159" s="39">
        <f t="shared" si="6"/>
        <v>450000</v>
      </c>
      <c r="W159" s="72">
        <f t="shared" ref="W159:W160" si="7">P159+Q159+R159+V159</f>
        <v>1240000</v>
      </c>
      <c r="X159" s="10"/>
      <c r="Y159" s="10"/>
      <c r="Z159" s="10"/>
      <c r="AA159" s="10"/>
      <c r="AB159" s="10"/>
    </row>
    <row r="160" spans="1:28" ht="47.25" customHeight="1" x14ac:dyDescent="0.2">
      <c r="A160" s="26" t="s">
        <v>11</v>
      </c>
      <c r="B160" s="26" t="s">
        <v>242</v>
      </c>
      <c r="C160" s="26" t="s">
        <v>243</v>
      </c>
      <c r="D160" s="26">
        <v>173768</v>
      </c>
      <c r="E160" s="26" t="s">
        <v>244</v>
      </c>
      <c r="F160" s="26" t="s">
        <v>245</v>
      </c>
      <c r="G160" s="26" t="s">
        <v>246</v>
      </c>
      <c r="H160" s="26" t="s">
        <v>115</v>
      </c>
      <c r="I160" s="71">
        <v>44846</v>
      </c>
      <c r="J160" s="71">
        <v>44849</v>
      </c>
      <c r="K160" s="26" t="s">
        <v>247</v>
      </c>
      <c r="L160" s="26">
        <v>4</v>
      </c>
      <c r="M160" s="26">
        <v>24</v>
      </c>
      <c r="N160" s="26"/>
      <c r="O160" s="26" t="s">
        <v>194</v>
      </c>
      <c r="P160" s="72">
        <v>400000</v>
      </c>
      <c r="Q160" s="72">
        <v>180000</v>
      </c>
      <c r="R160" s="72">
        <v>75000</v>
      </c>
      <c r="S160" s="72"/>
      <c r="T160" s="26"/>
      <c r="U160" s="26">
        <v>271546</v>
      </c>
      <c r="V160" s="39">
        <f t="shared" si="6"/>
        <v>1086184</v>
      </c>
      <c r="W160" s="72">
        <f t="shared" si="7"/>
        <v>1741184</v>
      </c>
      <c r="X160" s="10"/>
      <c r="Y160" s="10"/>
      <c r="Z160" s="10"/>
      <c r="AA160" s="10"/>
      <c r="AB160" s="10"/>
    </row>
    <row r="161" spans="1:28" ht="47.25" customHeight="1" x14ac:dyDescent="0.2">
      <c r="A161" s="73" t="s">
        <v>11</v>
      </c>
      <c r="B161" s="73" t="s">
        <v>182</v>
      </c>
      <c r="C161" s="73" t="s">
        <v>183</v>
      </c>
      <c r="D161" s="73">
        <v>173384</v>
      </c>
      <c r="E161" s="73" t="s">
        <v>816</v>
      </c>
      <c r="F161" s="73" t="s">
        <v>184</v>
      </c>
      <c r="G161" s="73" t="s">
        <v>185</v>
      </c>
      <c r="H161" s="73" t="s">
        <v>115</v>
      </c>
      <c r="I161" s="74">
        <v>44859</v>
      </c>
      <c r="J161" s="74">
        <v>44862</v>
      </c>
      <c r="K161" s="73" t="s">
        <v>186</v>
      </c>
      <c r="L161" s="73">
        <v>4</v>
      </c>
      <c r="M161" s="73">
        <v>35</v>
      </c>
      <c r="N161" s="73"/>
      <c r="O161" s="73"/>
      <c r="P161" s="72"/>
      <c r="Q161" s="72"/>
      <c r="R161" s="72"/>
      <c r="S161" s="72"/>
      <c r="T161" s="72">
        <v>11120000</v>
      </c>
      <c r="U161" s="39"/>
      <c r="V161" s="39"/>
      <c r="W161" s="26"/>
      <c r="X161" s="10"/>
      <c r="Y161" s="10"/>
      <c r="Z161" s="10"/>
      <c r="AA161" s="10"/>
      <c r="AB161" s="10"/>
    </row>
    <row r="162" spans="1:28" ht="47.2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1">
        <f>SUM(P2:P161)</f>
        <v>20490000</v>
      </c>
      <c r="Q162" s="41">
        <f>SUM(Q2:Q161)</f>
        <v>10174000</v>
      </c>
      <c r="R162" s="41">
        <f>SUM(R2:R161)</f>
        <v>2440000</v>
      </c>
      <c r="S162" s="42">
        <f>SUM(S2:S161)</f>
        <v>0</v>
      </c>
      <c r="T162" s="41">
        <f>SUM(T2:T161)</f>
        <v>350385000</v>
      </c>
      <c r="U162" s="39"/>
      <c r="V162" s="41">
        <f>SUM(V2:V161)</f>
        <v>60836362</v>
      </c>
      <c r="W162" s="43">
        <f>P162+Q162+R162+T162+V162</f>
        <v>444325362</v>
      </c>
      <c r="X162" s="38"/>
      <c r="Y162" s="38"/>
      <c r="Z162" s="38"/>
      <c r="AA162" s="38"/>
      <c r="AB162" s="38"/>
    </row>
    <row r="163" spans="1:28" ht="12.75" x14ac:dyDescent="0.2">
      <c r="P163" s="31"/>
      <c r="Q163" s="31"/>
      <c r="R163" s="31"/>
      <c r="T163" s="31"/>
    </row>
    <row r="164" spans="1:28" ht="12.75" x14ac:dyDescent="0.2">
      <c r="P164" s="31"/>
      <c r="Q164" s="31"/>
      <c r="R164" s="31"/>
      <c r="T164" s="31"/>
    </row>
    <row r="165" spans="1:28" ht="12.75" x14ac:dyDescent="0.2">
      <c r="P165" s="31"/>
      <c r="Q165" s="31"/>
      <c r="R165" s="31"/>
      <c r="T165" s="31"/>
    </row>
    <row r="166" spans="1:28" ht="12.75" x14ac:dyDescent="0.2">
      <c r="P166" s="31"/>
      <c r="Q166" s="31"/>
      <c r="R166" s="31"/>
      <c r="T166" s="31"/>
    </row>
    <row r="167" spans="1:28" ht="12.75" x14ac:dyDescent="0.2">
      <c r="P167" s="31"/>
      <c r="Q167" s="31"/>
      <c r="R167" s="31"/>
      <c r="T167" s="31"/>
    </row>
    <row r="168" spans="1:28" ht="12.75" x14ac:dyDescent="0.2">
      <c r="P168" s="31"/>
      <c r="Q168" s="31"/>
      <c r="R168" s="31"/>
      <c r="T168" s="31"/>
    </row>
    <row r="169" spans="1:28" ht="12.75" x14ac:dyDescent="0.2">
      <c r="P169" s="31"/>
      <c r="Q169" s="31"/>
      <c r="R169" s="31"/>
      <c r="T169" s="31"/>
    </row>
    <row r="170" spans="1:28" ht="12.75" x14ac:dyDescent="0.2">
      <c r="P170" s="31"/>
      <c r="Q170" s="31"/>
      <c r="R170" s="31"/>
      <c r="T170" s="31"/>
    </row>
    <row r="171" spans="1:28" ht="12.75" x14ac:dyDescent="0.2">
      <c r="P171" s="31"/>
      <c r="Q171" s="31"/>
      <c r="R171" s="31"/>
      <c r="T171" s="31"/>
    </row>
    <row r="172" spans="1:28" ht="12.75" x14ac:dyDescent="0.2">
      <c r="P172" s="31"/>
      <c r="Q172" s="31"/>
      <c r="R172" s="31"/>
      <c r="T172" s="31"/>
    </row>
    <row r="173" spans="1:28" ht="12.75" x14ac:dyDescent="0.2">
      <c r="P173" s="31"/>
      <c r="Q173" s="31"/>
      <c r="R173" s="31"/>
      <c r="T173" s="31"/>
    </row>
    <row r="174" spans="1:28" ht="12.75" x14ac:dyDescent="0.2">
      <c r="P174" s="31"/>
      <c r="Q174" s="31"/>
      <c r="R174" s="31"/>
      <c r="T174" s="31"/>
    </row>
    <row r="175" spans="1:28" ht="12.75" x14ac:dyDescent="0.2">
      <c r="P175" s="31"/>
      <c r="Q175" s="31"/>
      <c r="R175" s="31"/>
      <c r="T175" s="31"/>
    </row>
    <row r="176" spans="1:28" ht="12.75" x14ac:dyDescent="0.2">
      <c r="P176" s="31"/>
      <c r="Q176" s="31"/>
      <c r="R176" s="31"/>
      <c r="T176" s="31"/>
    </row>
    <row r="177" spans="16:20" ht="12.75" x14ac:dyDescent="0.2">
      <c r="P177" s="31"/>
      <c r="Q177" s="31"/>
      <c r="R177" s="31"/>
      <c r="T177" s="31"/>
    </row>
    <row r="178" spans="16:20" ht="12.75" x14ac:dyDescent="0.2">
      <c r="P178" s="31"/>
      <c r="Q178" s="31"/>
      <c r="R178" s="31"/>
      <c r="T178" s="31"/>
    </row>
    <row r="179" spans="16:20" ht="12.75" x14ac:dyDescent="0.2">
      <c r="P179" s="31"/>
      <c r="Q179" s="31"/>
      <c r="R179" s="31"/>
      <c r="T179" s="31"/>
    </row>
    <row r="180" spans="16:20" ht="12.75" x14ac:dyDescent="0.2">
      <c r="P180" s="31"/>
      <c r="Q180" s="31"/>
      <c r="R180" s="31"/>
      <c r="T180" s="31"/>
    </row>
    <row r="181" spans="16:20" ht="12.75" x14ac:dyDescent="0.2">
      <c r="P181" s="31"/>
      <c r="Q181" s="31"/>
      <c r="R181" s="31"/>
      <c r="T181" s="31"/>
    </row>
    <row r="182" spans="16:20" ht="12.75" x14ac:dyDescent="0.2">
      <c r="P182" s="31"/>
      <c r="Q182" s="31"/>
      <c r="R182" s="31"/>
      <c r="T182" s="31"/>
    </row>
    <row r="183" spans="16:20" ht="12.75" x14ac:dyDescent="0.2">
      <c r="P183" s="31"/>
      <c r="Q183" s="31"/>
      <c r="R183" s="31"/>
      <c r="T183" s="31"/>
    </row>
    <row r="184" spans="16:20" ht="12.75" x14ac:dyDescent="0.2">
      <c r="P184" s="31"/>
      <c r="Q184" s="31"/>
      <c r="R184" s="31"/>
      <c r="T184" s="31"/>
    </row>
    <row r="185" spans="16:20" ht="12.75" x14ac:dyDescent="0.2">
      <c r="P185" s="31"/>
      <c r="Q185" s="31"/>
      <c r="R185" s="31"/>
      <c r="T185" s="31"/>
    </row>
    <row r="186" spans="16:20" ht="12.75" x14ac:dyDescent="0.2">
      <c r="P186" s="31"/>
      <c r="Q186" s="31"/>
      <c r="R186" s="31"/>
      <c r="T186" s="31"/>
    </row>
    <row r="187" spans="16:20" ht="12.75" x14ac:dyDescent="0.2">
      <c r="P187" s="31"/>
      <c r="Q187" s="31"/>
      <c r="R187" s="31"/>
      <c r="T187" s="31"/>
    </row>
    <row r="188" spans="16:20" ht="12.75" x14ac:dyDescent="0.2">
      <c r="P188" s="31"/>
      <c r="Q188" s="31"/>
      <c r="R188" s="31"/>
      <c r="T188" s="31"/>
    </row>
    <row r="189" spans="16:20" ht="12.75" x14ac:dyDescent="0.2">
      <c r="P189" s="31"/>
      <c r="Q189" s="31"/>
      <c r="R189" s="31"/>
      <c r="T189" s="31"/>
    </row>
    <row r="190" spans="16:20" ht="12.75" x14ac:dyDescent="0.2">
      <c r="P190" s="31"/>
      <c r="Q190" s="31"/>
      <c r="R190" s="31"/>
      <c r="T190" s="31"/>
    </row>
    <row r="191" spans="16:20" ht="12.75" x14ac:dyDescent="0.2">
      <c r="P191" s="31"/>
      <c r="Q191" s="31"/>
      <c r="R191" s="31"/>
      <c r="T191" s="31"/>
    </row>
    <row r="192" spans="16:20" ht="12.75" x14ac:dyDescent="0.2">
      <c r="P192" s="31"/>
      <c r="Q192" s="31"/>
      <c r="R192" s="31"/>
      <c r="T192" s="31"/>
    </row>
    <row r="193" spans="16:20" ht="12.75" x14ac:dyDescent="0.2">
      <c r="P193" s="31"/>
      <c r="Q193" s="31"/>
      <c r="R193" s="31"/>
      <c r="T193" s="31"/>
    </row>
    <row r="194" spans="16:20" ht="12.75" x14ac:dyDescent="0.2">
      <c r="P194" s="31"/>
      <c r="Q194" s="31"/>
      <c r="R194" s="31"/>
      <c r="T194" s="31"/>
    </row>
    <row r="195" spans="16:20" ht="12.75" x14ac:dyDescent="0.2">
      <c r="P195" s="31"/>
      <c r="Q195" s="31"/>
      <c r="R195" s="31"/>
      <c r="T195" s="31"/>
    </row>
    <row r="196" spans="16:20" ht="12.75" x14ac:dyDescent="0.2">
      <c r="P196" s="31"/>
      <c r="Q196" s="31"/>
      <c r="R196" s="31"/>
      <c r="T196" s="31"/>
    </row>
    <row r="197" spans="16:20" ht="12.75" x14ac:dyDescent="0.2">
      <c r="P197" s="31"/>
      <c r="Q197" s="31"/>
      <c r="R197" s="31"/>
      <c r="T197" s="31"/>
    </row>
    <row r="198" spans="16:20" ht="12.75" x14ac:dyDescent="0.2">
      <c r="P198" s="31"/>
      <c r="Q198" s="31"/>
      <c r="R198" s="31"/>
      <c r="T198" s="31"/>
    </row>
    <row r="199" spans="16:20" ht="12.75" x14ac:dyDescent="0.2">
      <c r="P199" s="31"/>
      <c r="Q199" s="31"/>
      <c r="R199" s="31"/>
      <c r="T199" s="31"/>
    </row>
    <row r="200" spans="16:20" ht="12.75" x14ac:dyDescent="0.2">
      <c r="P200" s="31"/>
      <c r="Q200" s="31"/>
      <c r="R200" s="31"/>
      <c r="T200" s="31"/>
    </row>
    <row r="201" spans="16:20" ht="12.75" x14ac:dyDescent="0.2">
      <c r="P201" s="31"/>
      <c r="Q201" s="31"/>
      <c r="R201" s="31"/>
      <c r="T201" s="31"/>
    </row>
    <row r="202" spans="16:20" ht="12.75" x14ac:dyDescent="0.2">
      <c r="P202" s="31"/>
      <c r="Q202" s="31"/>
      <c r="R202" s="31"/>
      <c r="T202" s="31"/>
    </row>
    <row r="203" spans="16:20" ht="12.75" x14ac:dyDescent="0.2">
      <c r="P203" s="31"/>
      <c r="Q203" s="31"/>
      <c r="R203" s="31"/>
      <c r="T203" s="31"/>
    </row>
    <row r="204" spans="16:20" ht="12.75" x14ac:dyDescent="0.2">
      <c r="P204" s="31"/>
      <c r="Q204" s="31"/>
      <c r="R204" s="31"/>
      <c r="T204" s="31"/>
    </row>
    <row r="205" spans="16:20" ht="12.75" x14ac:dyDescent="0.2">
      <c r="P205" s="31"/>
      <c r="Q205" s="31"/>
      <c r="R205" s="31"/>
      <c r="T205" s="31"/>
    </row>
    <row r="206" spans="16:20" ht="12.75" x14ac:dyDescent="0.2">
      <c r="P206" s="31"/>
      <c r="Q206" s="31"/>
      <c r="R206" s="31"/>
      <c r="T206" s="31"/>
    </row>
    <row r="207" spans="16:20" ht="12.75" x14ac:dyDescent="0.2">
      <c r="P207" s="31"/>
      <c r="Q207" s="31"/>
      <c r="R207" s="31"/>
      <c r="T207" s="31"/>
    </row>
    <row r="208" spans="16:20" ht="12.75" x14ac:dyDescent="0.2">
      <c r="P208" s="31"/>
      <c r="Q208" s="31"/>
      <c r="R208" s="31"/>
      <c r="T208" s="31"/>
    </row>
    <row r="209" spans="16:20" ht="12.75" x14ac:dyDescent="0.2">
      <c r="P209" s="31"/>
      <c r="Q209" s="31"/>
      <c r="R209" s="31"/>
      <c r="T209" s="31"/>
    </row>
    <row r="210" spans="16:20" ht="12.75" x14ac:dyDescent="0.2">
      <c r="P210" s="31"/>
      <c r="Q210" s="31"/>
      <c r="R210" s="31"/>
      <c r="T210" s="31"/>
    </row>
    <row r="211" spans="16:20" ht="12.75" x14ac:dyDescent="0.2">
      <c r="P211" s="31"/>
      <c r="Q211" s="31"/>
      <c r="R211" s="31"/>
      <c r="T211" s="31"/>
    </row>
    <row r="212" spans="16:20" ht="12.75" x14ac:dyDescent="0.2">
      <c r="P212" s="31"/>
      <c r="Q212" s="31"/>
      <c r="R212" s="31"/>
      <c r="T212" s="31"/>
    </row>
    <row r="213" spans="16:20" ht="12.75" x14ac:dyDescent="0.2">
      <c r="P213" s="31"/>
      <c r="Q213" s="31"/>
      <c r="R213" s="31"/>
      <c r="T213" s="31"/>
    </row>
    <row r="214" spans="16:20" ht="12.75" x14ac:dyDescent="0.2">
      <c r="P214" s="31"/>
      <c r="Q214" s="31"/>
      <c r="R214" s="31"/>
      <c r="T214" s="31"/>
    </row>
    <row r="215" spans="16:20" ht="12.75" x14ac:dyDescent="0.2">
      <c r="P215" s="31"/>
      <c r="Q215" s="31"/>
      <c r="R215" s="31"/>
      <c r="T215" s="31"/>
    </row>
    <row r="216" spans="16:20" ht="12.75" x14ac:dyDescent="0.2">
      <c r="P216" s="31"/>
      <c r="Q216" s="31"/>
      <c r="R216" s="31"/>
      <c r="T216" s="31"/>
    </row>
    <row r="217" spans="16:20" ht="12.75" x14ac:dyDescent="0.2">
      <c r="P217" s="31"/>
      <c r="Q217" s="31"/>
      <c r="R217" s="31"/>
      <c r="T217" s="31"/>
    </row>
    <row r="218" spans="16:20" ht="12.75" x14ac:dyDescent="0.2">
      <c r="P218" s="31"/>
      <c r="Q218" s="31"/>
      <c r="R218" s="31"/>
      <c r="T218" s="31"/>
    </row>
    <row r="219" spans="16:20" ht="12.75" x14ac:dyDescent="0.2">
      <c r="P219" s="31"/>
      <c r="Q219" s="31"/>
      <c r="R219" s="31"/>
      <c r="T219" s="31"/>
    </row>
    <row r="220" spans="16:20" ht="12.75" x14ac:dyDescent="0.2">
      <c r="P220" s="31"/>
      <c r="Q220" s="31"/>
      <c r="R220" s="31"/>
      <c r="T220" s="31"/>
    </row>
    <row r="221" spans="16:20" ht="12.75" x14ac:dyDescent="0.2">
      <c r="P221" s="31"/>
      <c r="Q221" s="31"/>
      <c r="R221" s="31"/>
      <c r="T221" s="31"/>
    </row>
    <row r="222" spans="16:20" ht="12.75" x14ac:dyDescent="0.2">
      <c r="P222" s="31"/>
      <c r="Q222" s="31"/>
      <c r="R222" s="31"/>
      <c r="T222" s="31"/>
    </row>
    <row r="223" spans="16:20" ht="12.75" x14ac:dyDescent="0.2">
      <c r="P223" s="31"/>
      <c r="Q223" s="31"/>
      <c r="R223" s="31"/>
      <c r="T223" s="31"/>
    </row>
    <row r="224" spans="16:20" ht="12.75" x14ac:dyDescent="0.2">
      <c r="P224" s="31"/>
      <c r="Q224" s="31"/>
      <c r="R224" s="31"/>
      <c r="T224" s="31"/>
    </row>
    <row r="225" spans="16:20" ht="12.75" x14ac:dyDescent="0.2">
      <c r="P225" s="31"/>
      <c r="Q225" s="31"/>
      <c r="R225" s="31"/>
      <c r="T225" s="31"/>
    </row>
    <row r="226" spans="16:20" ht="12.75" x14ac:dyDescent="0.2">
      <c r="P226" s="31"/>
      <c r="Q226" s="31"/>
      <c r="R226" s="31"/>
      <c r="T226" s="31"/>
    </row>
    <row r="227" spans="16:20" ht="12.75" x14ac:dyDescent="0.2">
      <c r="P227" s="31"/>
      <c r="Q227" s="31"/>
      <c r="R227" s="31"/>
      <c r="T227" s="31"/>
    </row>
    <row r="228" spans="16:20" ht="12.75" x14ac:dyDescent="0.2">
      <c r="P228" s="31"/>
      <c r="Q228" s="31"/>
      <c r="R228" s="31"/>
      <c r="T228" s="31"/>
    </row>
    <row r="229" spans="16:20" ht="12.75" x14ac:dyDescent="0.2">
      <c r="P229" s="31"/>
      <c r="Q229" s="31"/>
      <c r="R229" s="31"/>
      <c r="T229" s="31"/>
    </row>
    <row r="230" spans="16:20" ht="12.75" x14ac:dyDescent="0.2">
      <c r="P230" s="31"/>
      <c r="Q230" s="31"/>
      <c r="R230" s="31"/>
      <c r="T230" s="31"/>
    </row>
    <row r="231" spans="16:20" ht="12.75" x14ac:dyDescent="0.2">
      <c r="P231" s="31"/>
      <c r="Q231" s="31"/>
      <c r="R231" s="31"/>
      <c r="T231" s="31"/>
    </row>
    <row r="232" spans="16:20" ht="12.75" x14ac:dyDescent="0.2">
      <c r="P232" s="31"/>
      <c r="Q232" s="31"/>
      <c r="R232" s="31"/>
      <c r="T232" s="31"/>
    </row>
    <row r="233" spans="16:20" ht="12.75" x14ac:dyDescent="0.2">
      <c r="P233" s="31"/>
      <c r="Q233" s="31"/>
      <c r="R233" s="31"/>
      <c r="T233" s="31"/>
    </row>
    <row r="234" spans="16:20" ht="12.75" x14ac:dyDescent="0.2">
      <c r="P234" s="31"/>
      <c r="Q234" s="31"/>
      <c r="R234" s="31"/>
      <c r="T234" s="31"/>
    </row>
    <row r="235" spans="16:20" ht="12.75" x14ac:dyDescent="0.2">
      <c r="P235" s="31"/>
      <c r="Q235" s="31"/>
      <c r="R235" s="31"/>
      <c r="T235" s="31"/>
    </row>
    <row r="236" spans="16:20" ht="12.75" x14ac:dyDescent="0.2">
      <c r="P236" s="31"/>
      <c r="Q236" s="31"/>
      <c r="R236" s="31"/>
      <c r="T236" s="31"/>
    </row>
    <row r="237" spans="16:20" ht="12.75" x14ac:dyDescent="0.2">
      <c r="P237" s="31"/>
      <c r="Q237" s="31"/>
      <c r="R237" s="31"/>
      <c r="T237" s="31"/>
    </row>
    <row r="238" spans="16:20" ht="12.75" x14ac:dyDescent="0.2">
      <c r="P238" s="31"/>
      <c r="Q238" s="31"/>
      <c r="R238" s="31"/>
      <c r="T238" s="31"/>
    </row>
    <row r="239" spans="16:20" ht="12.75" x14ac:dyDescent="0.2">
      <c r="P239" s="31"/>
      <c r="Q239" s="31"/>
      <c r="R239" s="31"/>
      <c r="T239" s="31"/>
    </row>
    <row r="240" spans="16:20" ht="12.75" x14ac:dyDescent="0.2">
      <c r="P240" s="31"/>
      <c r="Q240" s="31"/>
      <c r="R240" s="31"/>
      <c r="T240" s="31"/>
    </row>
    <row r="241" spans="16:20" ht="12.75" x14ac:dyDescent="0.2">
      <c r="P241" s="31"/>
      <c r="Q241" s="31"/>
      <c r="R241" s="31"/>
      <c r="T241" s="31"/>
    </row>
    <row r="242" spans="16:20" ht="12.75" x14ac:dyDescent="0.2">
      <c r="P242" s="31"/>
      <c r="Q242" s="31"/>
      <c r="R242" s="31"/>
      <c r="T242" s="31"/>
    </row>
    <row r="243" spans="16:20" ht="12.75" x14ac:dyDescent="0.2">
      <c r="P243" s="31"/>
      <c r="Q243" s="31"/>
      <c r="R243" s="31"/>
      <c r="T243" s="31"/>
    </row>
    <row r="244" spans="16:20" ht="12.75" x14ac:dyDescent="0.2">
      <c r="P244" s="31"/>
      <c r="Q244" s="31"/>
      <c r="R244" s="31"/>
      <c r="T244" s="31"/>
    </row>
    <row r="245" spans="16:20" ht="12.75" x14ac:dyDescent="0.2">
      <c r="P245" s="31"/>
      <c r="Q245" s="31"/>
      <c r="R245" s="31"/>
      <c r="T245" s="31"/>
    </row>
    <row r="246" spans="16:20" ht="12.75" x14ac:dyDescent="0.2">
      <c r="P246" s="31"/>
      <c r="Q246" s="31"/>
      <c r="R246" s="31"/>
      <c r="T246" s="31"/>
    </row>
    <row r="247" spans="16:20" ht="12.75" x14ac:dyDescent="0.2">
      <c r="P247" s="31"/>
      <c r="Q247" s="31"/>
      <c r="R247" s="31"/>
      <c r="T247" s="31"/>
    </row>
    <row r="248" spans="16:20" ht="12.75" x14ac:dyDescent="0.2">
      <c r="P248" s="31"/>
      <c r="Q248" s="31"/>
      <c r="R248" s="31"/>
      <c r="T248" s="31"/>
    </row>
    <row r="249" spans="16:20" ht="12.75" x14ac:dyDescent="0.2">
      <c r="P249" s="31"/>
      <c r="Q249" s="31"/>
      <c r="R249" s="31"/>
      <c r="T249" s="31"/>
    </row>
    <row r="250" spans="16:20" ht="12.75" x14ac:dyDescent="0.2">
      <c r="P250" s="31"/>
      <c r="Q250" s="31"/>
      <c r="R250" s="31"/>
      <c r="T250" s="31"/>
    </row>
    <row r="251" spans="16:20" ht="12.75" x14ac:dyDescent="0.2">
      <c r="P251" s="31"/>
      <c r="Q251" s="31"/>
      <c r="R251" s="31"/>
      <c r="T251" s="31"/>
    </row>
    <row r="252" spans="16:20" ht="12.75" x14ac:dyDescent="0.2">
      <c r="P252" s="31"/>
      <c r="Q252" s="31"/>
      <c r="R252" s="31"/>
      <c r="T252" s="31"/>
    </row>
    <row r="253" spans="16:20" ht="12.75" x14ac:dyDescent="0.2">
      <c r="P253" s="31"/>
      <c r="Q253" s="31"/>
      <c r="R253" s="31"/>
      <c r="T253" s="31"/>
    </row>
    <row r="254" spans="16:20" ht="12.75" x14ac:dyDescent="0.2">
      <c r="P254" s="31"/>
      <c r="Q254" s="31"/>
      <c r="R254" s="31"/>
      <c r="T254" s="31"/>
    </row>
    <row r="255" spans="16:20" ht="12.75" x14ac:dyDescent="0.2">
      <c r="P255" s="31"/>
      <c r="Q255" s="31"/>
      <c r="R255" s="31"/>
      <c r="T255" s="31"/>
    </row>
    <row r="256" spans="16:20" ht="12.75" x14ac:dyDescent="0.2">
      <c r="P256" s="31"/>
      <c r="Q256" s="31"/>
      <c r="R256" s="31"/>
      <c r="T256" s="31"/>
    </row>
    <row r="257" spans="16:20" ht="12.75" x14ac:dyDescent="0.2">
      <c r="P257" s="31"/>
      <c r="Q257" s="31"/>
      <c r="R257" s="31"/>
      <c r="T257" s="31"/>
    </row>
    <row r="258" spans="16:20" ht="12.75" x14ac:dyDescent="0.2">
      <c r="P258" s="31"/>
      <c r="Q258" s="31"/>
      <c r="R258" s="31"/>
      <c r="T258" s="31"/>
    </row>
    <row r="259" spans="16:20" ht="12.75" x14ac:dyDescent="0.2">
      <c r="P259" s="31"/>
      <c r="Q259" s="31"/>
      <c r="R259" s="31"/>
      <c r="T259" s="31"/>
    </row>
    <row r="260" spans="16:20" ht="12.75" x14ac:dyDescent="0.2">
      <c r="P260" s="31"/>
      <c r="Q260" s="31"/>
      <c r="R260" s="31"/>
      <c r="T260" s="31"/>
    </row>
    <row r="261" spans="16:20" ht="12.75" x14ac:dyDescent="0.2">
      <c r="P261" s="31"/>
      <c r="Q261" s="31"/>
      <c r="R261" s="31"/>
      <c r="T261" s="31"/>
    </row>
    <row r="262" spans="16:20" ht="12.75" x14ac:dyDescent="0.2">
      <c r="P262" s="31"/>
      <c r="Q262" s="31"/>
      <c r="R262" s="31"/>
      <c r="T262" s="31"/>
    </row>
    <row r="263" spans="16:20" ht="12.75" x14ac:dyDescent="0.2">
      <c r="P263" s="31"/>
      <c r="Q263" s="31"/>
      <c r="R263" s="31"/>
      <c r="T263" s="31"/>
    </row>
    <row r="264" spans="16:20" ht="12.75" x14ac:dyDescent="0.2">
      <c r="P264" s="31"/>
      <c r="Q264" s="31"/>
      <c r="R264" s="31"/>
      <c r="T264" s="31"/>
    </row>
    <row r="265" spans="16:20" ht="12.75" x14ac:dyDescent="0.2">
      <c r="P265" s="31"/>
      <c r="Q265" s="31"/>
      <c r="R265" s="31"/>
      <c r="T265" s="31"/>
    </row>
    <row r="266" spans="16:20" ht="12.75" x14ac:dyDescent="0.2">
      <c r="P266" s="31"/>
      <c r="Q266" s="31"/>
      <c r="R266" s="31"/>
      <c r="T266" s="31"/>
    </row>
    <row r="267" spans="16:20" ht="12.75" x14ac:dyDescent="0.2">
      <c r="P267" s="31"/>
      <c r="Q267" s="31"/>
      <c r="R267" s="31"/>
      <c r="T267" s="31"/>
    </row>
    <row r="268" spans="16:20" ht="12.75" x14ac:dyDescent="0.2">
      <c r="P268" s="31"/>
      <c r="Q268" s="31"/>
      <c r="R268" s="31"/>
      <c r="T268" s="31"/>
    </row>
    <row r="269" spans="16:20" ht="12.75" x14ac:dyDescent="0.2">
      <c r="P269" s="31"/>
      <c r="Q269" s="31"/>
      <c r="R269" s="31"/>
      <c r="T269" s="31"/>
    </row>
    <row r="270" spans="16:20" ht="12.75" x14ac:dyDescent="0.2">
      <c r="P270" s="31"/>
      <c r="Q270" s="31"/>
      <c r="R270" s="31"/>
      <c r="T270" s="31"/>
    </row>
    <row r="271" spans="16:20" ht="12.75" x14ac:dyDescent="0.2">
      <c r="P271" s="31"/>
      <c r="Q271" s="31"/>
      <c r="R271" s="31"/>
      <c r="T271" s="31"/>
    </row>
    <row r="272" spans="16:20" ht="12.75" x14ac:dyDescent="0.2">
      <c r="P272" s="31"/>
      <c r="Q272" s="31"/>
      <c r="R272" s="31"/>
      <c r="T272" s="31"/>
    </row>
    <row r="273" spans="16:20" ht="12.75" x14ac:dyDescent="0.2">
      <c r="P273" s="31"/>
      <c r="Q273" s="31"/>
      <c r="R273" s="31"/>
      <c r="T273" s="31"/>
    </row>
    <row r="274" spans="16:20" ht="12.75" x14ac:dyDescent="0.2">
      <c r="P274" s="31"/>
      <c r="Q274" s="31"/>
      <c r="R274" s="31"/>
      <c r="T274" s="31"/>
    </row>
    <row r="275" spans="16:20" ht="12.75" x14ac:dyDescent="0.2">
      <c r="P275" s="31"/>
      <c r="Q275" s="31"/>
      <c r="R275" s="31"/>
      <c r="T275" s="31"/>
    </row>
    <row r="276" spans="16:20" ht="12.75" x14ac:dyDescent="0.2">
      <c r="P276" s="31"/>
      <c r="Q276" s="31"/>
      <c r="R276" s="31"/>
      <c r="T276" s="31"/>
    </row>
    <row r="277" spans="16:20" ht="12.75" x14ac:dyDescent="0.2">
      <c r="P277" s="31"/>
      <c r="Q277" s="31"/>
      <c r="R277" s="31"/>
      <c r="T277" s="31"/>
    </row>
    <row r="278" spans="16:20" ht="12.75" x14ac:dyDescent="0.2">
      <c r="P278" s="31"/>
      <c r="Q278" s="31"/>
      <c r="R278" s="31"/>
      <c r="T278" s="31"/>
    </row>
    <row r="279" spans="16:20" ht="12.75" x14ac:dyDescent="0.2">
      <c r="P279" s="31"/>
      <c r="Q279" s="31"/>
      <c r="R279" s="31"/>
      <c r="T279" s="31"/>
    </row>
    <row r="280" spans="16:20" ht="12.75" x14ac:dyDescent="0.2">
      <c r="P280" s="31"/>
      <c r="Q280" s="31"/>
      <c r="R280" s="31"/>
      <c r="T280" s="31"/>
    </row>
    <row r="281" spans="16:20" ht="12.75" x14ac:dyDescent="0.2">
      <c r="P281" s="31"/>
      <c r="Q281" s="31"/>
      <c r="R281" s="31"/>
      <c r="T281" s="31"/>
    </row>
    <row r="282" spans="16:20" ht="12.75" x14ac:dyDescent="0.2">
      <c r="P282" s="31"/>
      <c r="Q282" s="31"/>
      <c r="R282" s="31"/>
      <c r="T282" s="31"/>
    </row>
    <row r="283" spans="16:20" ht="12.75" x14ac:dyDescent="0.2">
      <c r="P283" s="31"/>
      <c r="Q283" s="31"/>
      <c r="R283" s="31"/>
      <c r="T283" s="31"/>
    </row>
    <row r="284" spans="16:20" ht="12.75" x14ac:dyDescent="0.2">
      <c r="P284" s="31"/>
      <c r="Q284" s="31"/>
      <c r="R284" s="31"/>
      <c r="T284" s="31"/>
    </row>
    <row r="285" spans="16:20" ht="12.75" x14ac:dyDescent="0.2">
      <c r="P285" s="31"/>
      <c r="Q285" s="31"/>
      <c r="R285" s="31"/>
      <c r="T285" s="31"/>
    </row>
    <row r="286" spans="16:20" ht="12.75" x14ac:dyDescent="0.2">
      <c r="P286" s="31"/>
      <c r="Q286" s="31"/>
      <c r="R286" s="31"/>
      <c r="T286" s="31"/>
    </row>
    <row r="287" spans="16:20" ht="12.75" x14ac:dyDescent="0.2">
      <c r="P287" s="31"/>
      <c r="Q287" s="31"/>
      <c r="R287" s="31"/>
      <c r="T287" s="31"/>
    </row>
    <row r="288" spans="16:20" ht="12.75" x14ac:dyDescent="0.2">
      <c r="P288" s="31"/>
      <c r="Q288" s="31"/>
      <c r="R288" s="31"/>
      <c r="T288" s="31"/>
    </row>
    <row r="289" spans="16:20" ht="12.75" x14ac:dyDescent="0.2">
      <c r="P289" s="31"/>
      <c r="Q289" s="31"/>
      <c r="R289" s="31"/>
      <c r="T289" s="31"/>
    </row>
    <row r="290" spans="16:20" ht="12.75" x14ac:dyDescent="0.2">
      <c r="P290" s="31"/>
      <c r="Q290" s="31"/>
      <c r="R290" s="31"/>
      <c r="T290" s="31"/>
    </row>
    <row r="291" spans="16:20" ht="12.75" x14ac:dyDescent="0.2">
      <c r="P291" s="31"/>
      <c r="Q291" s="31"/>
      <c r="R291" s="31"/>
      <c r="T291" s="31"/>
    </row>
    <row r="292" spans="16:20" ht="12.75" x14ac:dyDescent="0.2">
      <c r="P292" s="31"/>
      <c r="Q292" s="31"/>
      <c r="R292" s="31"/>
      <c r="T292" s="31"/>
    </row>
    <row r="293" spans="16:20" ht="12.75" x14ac:dyDescent="0.2">
      <c r="P293" s="31"/>
      <c r="Q293" s="31"/>
      <c r="R293" s="31"/>
      <c r="T293" s="31"/>
    </row>
    <row r="294" spans="16:20" ht="12.75" x14ac:dyDescent="0.2">
      <c r="P294" s="31"/>
      <c r="Q294" s="31"/>
      <c r="R294" s="31"/>
      <c r="T294" s="31"/>
    </row>
    <row r="295" spans="16:20" ht="12.75" x14ac:dyDescent="0.2">
      <c r="P295" s="31"/>
      <c r="Q295" s="31"/>
      <c r="R295" s="31"/>
      <c r="T295" s="31"/>
    </row>
    <row r="296" spans="16:20" ht="12.75" x14ac:dyDescent="0.2">
      <c r="P296" s="31"/>
      <c r="Q296" s="31"/>
      <c r="R296" s="31"/>
      <c r="T296" s="31"/>
    </row>
    <row r="297" spans="16:20" ht="12.75" x14ac:dyDescent="0.2">
      <c r="P297" s="31"/>
      <c r="Q297" s="31"/>
      <c r="R297" s="31"/>
      <c r="T297" s="31"/>
    </row>
    <row r="298" spans="16:20" ht="12.75" x14ac:dyDescent="0.2">
      <c r="P298" s="31"/>
      <c r="Q298" s="31"/>
      <c r="R298" s="31"/>
      <c r="T298" s="31"/>
    </row>
    <row r="299" spans="16:20" ht="12.75" x14ac:dyDescent="0.2">
      <c r="P299" s="31"/>
      <c r="Q299" s="31"/>
      <c r="R299" s="31"/>
      <c r="T299" s="31"/>
    </row>
    <row r="300" spans="16:20" ht="12.75" x14ac:dyDescent="0.2">
      <c r="P300" s="31"/>
      <c r="Q300" s="31"/>
      <c r="R300" s="31"/>
      <c r="T300" s="31"/>
    </row>
    <row r="301" spans="16:20" ht="12.75" x14ac:dyDescent="0.2">
      <c r="P301" s="31"/>
      <c r="Q301" s="31"/>
      <c r="R301" s="31"/>
      <c r="T301" s="31"/>
    </row>
    <row r="302" spans="16:20" ht="12.75" x14ac:dyDescent="0.2">
      <c r="P302" s="31"/>
      <c r="Q302" s="31"/>
      <c r="R302" s="31"/>
      <c r="T302" s="31"/>
    </row>
    <row r="303" spans="16:20" ht="12.75" x14ac:dyDescent="0.2">
      <c r="P303" s="31"/>
      <c r="Q303" s="31"/>
      <c r="R303" s="31"/>
      <c r="T303" s="31"/>
    </row>
    <row r="304" spans="16:20" ht="12.75" x14ac:dyDescent="0.2">
      <c r="P304" s="31"/>
      <c r="Q304" s="31"/>
      <c r="R304" s="31"/>
      <c r="T304" s="31"/>
    </row>
    <row r="305" spans="16:20" ht="12.75" x14ac:dyDescent="0.2">
      <c r="P305" s="31"/>
      <c r="Q305" s="31"/>
      <c r="R305" s="31"/>
      <c r="T305" s="31"/>
    </row>
    <row r="306" spans="16:20" ht="12.75" x14ac:dyDescent="0.2">
      <c r="P306" s="31"/>
      <c r="Q306" s="31"/>
      <c r="R306" s="31"/>
      <c r="T306" s="31"/>
    </row>
    <row r="307" spans="16:20" ht="12.75" x14ac:dyDescent="0.2">
      <c r="P307" s="31"/>
      <c r="Q307" s="31"/>
      <c r="R307" s="31"/>
      <c r="T307" s="31"/>
    </row>
    <row r="308" spans="16:20" ht="12.75" x14ac:dyDescent="0.2">
      <c r="P308" s="31"/>
      <c r="Q308" s="31"/>
      <c r="R308" s="31"/>
      <c r="T308" s="31"/>
    </row>
    <row r="309" spans="16:20" ht="12.75" x14ac:dyDescent="0.2">
      <c r="P309" s="31"/>
      <c r="Q309" s="31"/>
      <c r="R309" s="31"/>
      <c r="T309" s="31"/>
    </row>
    <row r="310" spans="16:20" ht="12.75" x14ac:dyDescent="0.2">
      <c r="P310" s="31"/>
      <c r="Q310" s="31"/>
      <c r="R310" s="31"/>
      <c r="T310" s="31"/>
    </row>
    <row r="311" spans="16:20" ht="12.75" x14ac:dyDescent="0.2">
      <c r="P311" s="31"/>
      <c r="Q311" s="31"/>
      <c r="R311" s="31"/>
      <c r="T311" s="31"/>
    </row>
    <row r="312" spans="16:20" ht="12.75" x14ac:dyDescent="0.2">
      <c r="P312" s="31"/>
      <c r="Q312" s="31"/>
      <c r="R312" s="31"/>
      <c r="T312" s="31"/>
    </row>
    <row r="313" spans="16:20" ht="12.75" x14ac:dyDescent="0.2">
      <c r="P313" s="31"/>
      <c r="Q313" s="31"/>
      <c r="R313" s="31"/>
      <c r="T313" s="31"/>
    </row>
    <row r="314" spans="16:20" ht="12.75" x14ac:dyDescent="0.2">
      <c r="P314" s="31"/>
      <c r="Q314" s="31"/>
      <c r="R314" s="31"/>
      <c r="T314" s="31"/>
    </row>
    <row r="315" spans="16:20" ht="12.75" x14ac:dyDescent="0.2">
      <c r="P315" s="31"/>
      <c r="Q315" s="31"/>
      <c r="R315" s="31"/>
      <c r="T315" s="31"/>
    </row>
    <row r="316" spans="16:20" ht="12.75" x14ac:dyDescent="0.2">
      <c r="P316" s="31"/>
      <c r="Q316" s="31"/>
      <c r="R316" s="31"/>
      <c r="T316" s="31"/>
    </row>
    <row r="317" spans="16:20" ht="12.75" x14ac:dyDescent="0.2">
      <c r="P317" s="31"/>
      <c r="Q317" s="31"/>
      <c r="R317" s="31"/>
      <c r="T317" s="31"/>
    </row>
    <row r="318" spans="16:20" ht="12.75" x14ac:dyDescent="0.2">
      <c r="P318" s="31"/>
      <c r="Q318" s="31"/>
      <c r="R318" s="31"/>
      <c r="T318" s="31"/>
    </row>
    <row r="319" spans="16:20" ht="12.75" x14ac:dyDescent="0.2">
      <c r="P319" s="31"/>
      <c r="Q319" s="31"/>
      <c r="R319" s="31"/>
      <c r="T319" s="31"/>
    </row>
    <row r="320" spans="16:20" ht="12.75" x14ac:dyDescent="0.2">
      <c r="P320" s="31"/>
      <c r="Q320" s="31"/>
      <c r="R320" s="31"/>
      <c r="T320" s="31"/>
    </row>
    <row r="321" spans="16:20" ht="12.75" x14ac:dyDescent="0.2">
      <c r="P321" s="31"/>
      <c r="Q321" s="31"/>
      <c r="R321" s="31"/>
      <c r="T321" s="31"/>
    </row>
    <row r="322" spans="16:20" ht="12.75" x14ac:dyDescent="0.2">
      <c r="P322" s="31"/>
      <c r="Q322" s="31"/>
      <c r="R322" s="31"/>
      <c r="T322" s="31"/>
    </row>
    <row r="323" spans="16:20" ht="12.75" x14ac:dyDescent="0.2">
      <c r="P323" s="31"/>
      <c r="Q323" s="31"/>
      <c r="R323" s="31"/>
      <c r="T323" s="31"/>
    </row>
    <row r="324" spans="16:20" ht="12.75" x14ac:dyDescent="0.2">
      <c r="P324" s="31"/>
      <c r="Q324" s="31"/>
      <c r="R324" s="31"/>
      <c r="T324" s="31"/>
    </row>
    <row r="325" spans="16:20" ht="12.75" x14ac:dyDescent="0.2">
      <c r="P325" s="31"/>
      <c r="Q325" s="31"/>
      <c r="R325" s="31"/>
      <c r="T325" s="31"/>
    </row>
    <row r="326" spans="16:20" ht="12.75" x14ac:dyDescent="0.2">
      <c r="P326" s="31"/>
      <c r="Q326" s="31"/>
      <c r="R326" s="31"/>
      <c r="T326" s="31"/>
    </row>
    <row r="327" spans="16:20" ht="12.75" x14ac:dyDescent="0.2">
      <c r="P327" s="31"/>
      <c r="Q327" s="31"/>
      <c r="R327" s="31"/>
      <c r="T327" s="31"/>
    </row>
    <row r="328" spans="16:20" ht="12.75" x14ac:dyDescent="0.2">
      <c r="P328" s="31"/>
      <c r="Q328" s="31"/>
      <c r="R328" s="31"/>
      <c r="T328" s="31"/>
    </row>
    <row r="329" spans="16:20" ht="12.75" x14ac:dyDescent="0.2">
      <c r="P329" s="31"/>
      <c r="Q329" s="31"/>
      <c r="R329" s="31"/>
      <c r="T329" s="31"/>
    </row>
    <row r="330" spans="16:20" ht="12.75" x14ac:dyDescent="0.2">
      <c r="P330" s="31"/>
      <c r="Q330" s="31"/>
      <c r="R330" s="31"/>
      <c r="T330" s="31"/>
    </row>
    <row r="331" spans="16:20" ht="12.75" x14ac:dyDescent="0.2">
      <c r="P331" s="31"/>
      <c r="Q331" s="31"/>
      <c r="R331" s="31"/>
      <c r="T331" s="31"/>
    </row>
    <row r="332" spans="16:20" ht="12.75" x14ac:dyDescent="0.2">
      <c r="P332" s="31"/>
      <c r="Q332" s="31"/>
      <c r="R332" s="31"/>
      <c r="T332" s="31"/>
    </row>
    <row r="333" spans="16:20" ht="12.75" x14ac:dyDescent="0.2">
      <c r="P333" s="31"/>
      <c r="Q333" s="31"/>
      <c r="R333" s="31"/>
      <c r="T333" s="31"/>
    </row>
    <row r="334" spans="16:20" ht="12.75" x14ac:dyDescent="0.2">
      <c r="P334" s="31"/>
      <c r="Q334" s="31"/>
      <c r="R334" s="31"/>
      <c r="T334" s="31"/>
    </row>
    <row r="335" spans="16:20" ht="12.75" x14ac:dyDescent="0.2">
      <c r="P335" s="31"/>
      <c r="Q335" s="31"/>
      <c r="R335" s="31"/>
      <c r="T335" s="31"/>
    </row>
    <row r="336" spans="16:20" ht="12.75" x14ac:dyDescent="0.2">
      <c r="P336" s="31"/>
      <c r="Q336" s="31"/>
      <c r="R336" s="31"/>
      <c r="T336" s="31"/>
    </row>
    <row r="337" spans="16:20" ht="12.75" x14ac:dyDescent="0.2">
      <c r="P337" s="31"/>
      <c r="Q337" s="31"/>
      <c r="R337" s="31"/>
      <c r="T337" s="31"/>
    </row>
    <row r="338" spans="16:20" ht="12.75" x14ac:dyDescent="0.2">
      <c r="P338" s="31"/>
      <c r="Q338" s="31"/>
      <c r="R338" s="31"/>
      <c r="T338" s="31"/>
    </row>
    <row r="339" spans="16:20" ht="12.75" x14ac:dyDescent="0.2">
      <c r="P339" s="31"/>
      <c r="Q339" s="31"/>
      <c r="R339" s="31"/>
      <c r="T339" s="31"/>
    </row>
    <row r="340" spans="16:20" ht="12.75" x14ac:dyDescent="0.2">
      <c r="P340" s="31"/>
      <c r="Q340" s="31"/>
      <c r="R340" s="31"/>
      <c r="T340" s="31"/>
    </row>
    <row r="341" spans="16:20" ht="12.75" x14ac:dyDescent="0.2">
      <c r="P341" s="31"/>
      <c r="Q341" s="31"/>
      <c r="R341" s="31"/>
      <c r="T341" s="31"/>
    </row>
    <row r="342" spans="16:20" ht="12.75" x14ac:dyDescent="0.2">
      <c r="P342" s="31"/>
      <c r="Q342" s="31"/>
      <c r="R342" s="31"/>
      <c r="T342" s="31"/>
    </row>
    <row r="343" spans="16:20" ht="12.75" x14ac:dyDescent="0.2">
      <c r="P343" s="31"/>
      <c r="Q343" s="31"/>
      <c r="R343" s="31"/>
      <c r="T343" s="31"/>
    </row>
    <row r="344" spans="16:20" ht="12.75" x14ac:dyDescent="0.2">
      <c r="P344" s="31"/>
      <c r="Q344" s="31"/>
      <c r="R344" s="31"/>
      <c r="T344" s="31"/>
    </row>
    <row r="345" spans="16:20" ht="12.75" x14ac:dyDescent="0.2">
      <c r="P345" s="31"/>
      <c r="Q345" s="31"/>
      <c r="R345" s="31"/>
      <c r="T345" s="31"/>
    </row>
    <row r="346" spans="16:20" ht="12.75" x14ac:dyDescent="0.2">
      <c r="P346" s="31"/>
      <c r="Q346" s="31"/>
      <c r="R346" s="31"/>
      <c r="T346" s="31"/>
    </row>
    <row r="347" spans="16:20" ht="12.75" x14ac:dyDescent="0.2">
      <c r="P347" s="31"/>
      <c r="Q347" s="31"/>
      <c r="R347" s="31"/>
      <c r="T347" s="31"/>
    </row>
    <row r="348" spans="16:20" ht="12.75" x14ac:dyDescent="0.2">
      <c r="P348" s="31"/>
      <c r="Q348" s="31"/>
      <c r="R348" s="31"/>
      <c r="T348" s="31"/>
    </row>
    <row r="349" spans="16:20" ht="12.75" x14ac:dyDescent="0.2">
      <c r="P349" s="31"/>
      <c r="Q349" s="31"/>
      <c r="R349" s="31"/>
      <c r="T349" s="31"/>
    </row>
    <row r="350" spans="16:20" ht="12.75" x14ac:dyDescent="0.2">
      <c r="P350" s="31"/>
      <c r="Q350" s="31"/>
      <c r="R350" s="31"/>
      <c r="T350" s="31"/>
    </row>
    <row r="351" spans="16:20" ht="12.75" x14ac:dyDescent="0.2">
      <c r="P351" s="31"/>
      <c r="Q351" s="31"/>
      <c r="R351" s="31"/>
      <c r="T351" s="31"/>
    </row>
    <row r="352" spans="16:20" ht="12.75" x14ac:dyDescent="0.2">
      <c r="P352" s="31"/>
      <c r="Q352" s="31"/>
      <c r="R352" s="31"/>
      <c r="T352" s="31"/>
    </row>
    <row r="353" spans="16:20" ht="12.75" x14ac:dyDescent="0.2">
      <c r="P353" s="31"/>
      <c r="Q353" s="31"/>
      <c r="R353" s="31"/>
      <c r="T353" s="31"/>
    </row>
    <row r="354" spans="16:20" ht="12.75" x14ac:dyDescent="0.2">
      <c r="P354" s="31"/>
      <c r="Q354" s="31"/>
      <c r="R354" s="31"/>
      <c r="T354" s="31"/>
    </row>
    <row r="355" spans="16:20" ht="12.75" x14ac:dyDescent="0.2">
      <c r="P355" s="31"/>
      <c r="Q355" s="31"/>
      <c r="R355" s="31"/>
      <c r="T355" s="31"/>
    </row>
    <row r="356" spans="16:20" ht="12.75" x14ac:dyDescent="0.2">
      <c r="P356" s="31"/>
      <c r="Q356" s="31"/>
      <c r="R356" s="31"/>
      <c r="T356" s="31"/>
    </row>
    <row r="357" spans="16:20" ht="12.75" x14ac:dyDescent="0.2">
      <c r="P357" s="31"/>
      <c r="Q357" s="31"/>
      <c r="R357" s="31"/>
      <c r="T357" s="31"/>
    </row>
    <row r="358" spans="16:20" ht="12.75" x14ac:dyDescent="0.2">
      <c r="P358" s="31"/>
      <c r="Q358" s="31"/>
      <c r="R358" s="31"/>
      <c r="T358" s="31"/>
    </row>
    <row r="359" spans="16:20" ht="12.75" x14ac:dyDescent="0.2">
      <c r="P359" s="31"/>
      <c r="Q359" s="31"/>
      <c r="R359" s="31"/>
      <c r="T359" s="31"/>
    </row>
    <row r="360" spans="16:20" ht="12.75" x14ac:dyDescent="0.2">
      <c r="P360" s="31"/>
      <c r="Q360" s="31"/>
      <c r="R360" s="31"/>
      <c r="T360" s="31"/>
    </row>
    <row r="361" spans="16:20" ht="12.75" x14ac:dyDescent="0.2">
      <c r="P361" s="31"/>
      <c r="Q361" s="31"/>
      <c r="R361" s="31"/>
      <c r="T361" s="31"/>
    </row>
    <row r="362" spans="16:20" ht="12.75" x14ac:dyDescent="0.2">
      <c r="P362" s="31"/>
      <c r="Q362" s="31"/>
      <c r="R362" s="31"/>
      <c r="T362" s="31"/>
    </row>
    <row r="363" spans="16:20" ht="12.75" x14ac:dyDescent="0.2">
      <c r="P363" s="31"/>
      <c r="Q363" s="31"/>
      <c r="R363" s="31"/>
      <c r="T363" s="31"/>
    </row>
    <row r="364" spans="16:20" ht="12.75" x14ac:dyDescent="0.2">
      <c r="P364" s="31"/>
      <c r="Q364" s="31"/>
      <c r="R364" s="31"/>
      <c r="T364" s="31"/>
    </row>
    <row r="365" spans="16:20" ht="12.75" x14ac:dyDescent="0.2">
      <c r="P365" s="31"/>
      <c r="Q365" s="31"/>
      <c r="R365" s="31"/>
      <c r="T365" s="31"/>
    </row>
    <row r="366" spans="16:20" ht="12.75" x14ac:dyDescent="0.2">
      <c r="P366" s="31"/>
      <c r="Q366" s="31"/>
      <c r="R366" s="31"/>
      <c r="T366" s="31"/>
    </row>
    <row r="367" spans="16:20" ht="12.75" x14ac:dyDescent="0.2">
      <c r="P367" s="31"/>
      <c r="Q367" s="31"/>
      <c r="R367" s="31"/>
      <c r="T367" s="31"/>
    </row>
    <row r="368" spans="16:20" ht="12.75" x14ac:dyDescent="0.2">
      <c r="P368" s="31"/>
      <c r="Q368" s="31"/>
      <c r="R368" s="31"/>
      <c r="T368" s="31"/>
    </row>
    <row r="369" spans="16:20" ht="12.75" x14ac:dyDescent="0.2">
      <c r="P369" s="31"/>
      <c r="Q369" s="31"/>
      <c r="R369" s="31"/>
      <c r="T369" s="31"/>
    </row>
    <row r="370" spans="16:20" ht="12.75" x14ac:dyDescent="0.2">
      <c r="P370" s="31"/>
      <c r="Q370" s="31"/>
      <c r="R370" s="31"/>
      <c r="T370" s="31"/>
    </row>
    <row r="371" spans="16:20" ht="12.75" x14ac:dyDescent="0.2">
      <c r="P371" s="31"/>
      <c r="Q371" s="31"/>
      <c r="R371" s="31"/>
      <c r="T371" s="31"/>
    </row>
    <row r="372" spans="16:20" ht="12.75" x14ac:dyDescent="0.2">
      <c r="P372" s="31"/>
      <c r="Q372" s="31"/>
      <c r="R372" s="31"/>
      <c r="T372" s="31"/>
    </row>
    <row r="373" spans="16:20" ht="12.75" x14ac:dyDescent="0.2">
      <c r="P373" s="31"/>
      <c r="Q373" s="31"/>
      <c r="R373" s="31"/>
      <c r="T373" s="31"/>
    </row>
    <row r="374" spans="16:20" ht="12.75" x14ac:dyDescent="0.2">
      <c r="P374" s="31"/>
      <c r="Q374" s="31"/>
      <c r="R374" s="31"/>
      <c r="T374" s="31"/>
    </row>
    <row r="375" spans="16:20" ht="12.75" x14ac:dyDescent="0.2">
      <c r="P375" s="31"/>
      <c r="Q375" s="31"/>
      <c r="R375" s="31"/>
      <c r="T375" s="31"/>
    </row>
    <row r="376" spans="16:20" ht="12.75" x14ac:dyDescent="0.2">
      <c r="P376" s="31"/>
      <c r="Q376" s="31"/>
      <c r="R376" s="31"/>
      <c r="T376" s="31"/>
    </row>
    <row r="377" spans="16:20" ht="12.75" x14ac:dyDescent="0.2">
      <c r="P377" s="31"/>
      <c r="Q377" s="31"/>
      <c r="R377" s="31"/>
      <c r="T377" s="31"/>
    </row>
    <row r="378" spans="16:20" ht="12.75" x14ac:dyDescent="0.2">
      <c r="P378" s="31"/>
      <c r="Q378" s="31"/>
      <c r="R378" s="31"/>
      <c r="T378" s="31"/>
    </row>
    <row r="379" spans="16:20" ht="12.75" x14ac:dyDescent="0.2">
      <c r="P379" s="31"/>
      <c r="Q379" s="31"/>
      <c r="R379" s="31"/>
      <c r="T379" s="31"/>
    </row>
    <row r="380" spans="16:20" ht="12.75" x14ac:dyDescent="0.2">
      <c r="P380" s="31"/>
      <c r="Q380" s="31"/>
      <c r="R380" s="31"/>
      <c r="T380" s="31"/>
    </row>
    <row r="381" spans="16:20" ht="12.75" x14ac:dyDescent="0.2">
      <c r="P381" s="31"/>
      <c r="Q381" s="31"/>
      <c r="R381" s="31"/>
      <c r="T381" s="31"/>
    </row>
    <row r="382" spans="16:20" ht="12.75" x14ac:dyDescent="0.2">
      <c r="P382" s="31"/>
      <c r="Q382" s="31"/>
      <c r="R382" s="31"/>
      <c r="T382" s="31"/>
    </row>
    <row r="383" spans="16:20" ht="12.75" x14ac:dyDescent="0.2">
      <c r="P383" s="31"/>
      <c r="Q383" s="31"/>
      <c r="R383" s="31"/>
      <c r="T383" s="31"/>
    </row>
    <row r="384" spans="16:20" ht="12.75" x14ac:dyDescent="0.2">
      <c r="P384" s="31"/>
      <c r="Q384" s="31"/>
      <c r="R384" s="31"/>
      <c r="T384" s="31"/>
    </row>
    <row r="385" spans="16:20" ht="12.75" x14ac:dyDescent="0.2">
      <c r="P385" s="31"/>
      <c r="Q385" s="31"/>
      <c r="R385" s="31"/>
      <c r="T385" s="31"/>
    </row>
    <row r="386" spans="16:20" ht="12.75" x14ac:dyDescent="0.2">
      <c r="P386" s="31"/>
      <c r="Q386" s="31"/>
      <c r="R386" s="31"/>
      <c r="T386" s="31"/>
    </row>
    <row r="387" spans="16:20" ht="12.75" x14ac:dyDescent="0.2">
      <c r="P387" s="31"/>
      <c r="Q387" s="31"/>
      <c r="R387" s="31"/>
      <c r="T387" s="31"/>
    </row>
    <row r="388" spans="16:20" ht="12.75" x14ac:dyDescent="0.2">
      <c r="P388" s="31"/>
      <c r="Q388" s="31"/>
      <c r="R388" s="31"/>
      <c r="T388" s="31"/>
    </row>
    <row r="389" spans="16:20" ht="12.75" x14ac:dyDescent="0.2">
      <c r="P389" s="31"/>
      <c r="Q389" s="31"/>
      <c r="R389" s="31"/>
      <c r="T389" s="31"/>
    </row>
    <row r="390" spans="16:20" ht="12.75" x14ac:dyDescent="0.2">
      <c r="P390" s="31"/>
      <c r="Q390" s="31"/>
      <c r="R390" s="31"/>
      <c r="T390" s="31"/>
    </row>
    <row r="391" spans="16:20" ht="12.75" x14ac:dyDescent="0.2">
      <c r="P391" s="31"/>
      <c r="Q391" s="31"/>
      <c r="R391" s="31"/>
      <c r="T391" s="31"/>
    </row>
    <row r="392" spans="16:20" ht="12.75" x14ac:dyDescent="0.2">
      <c r="P392" s="31"/>
      <c r="Q392" s="31"/>
      <c r="R392" s="31"/>
      <c r="T392" s="31"/>
    </row>
    <row r="393" spans="16:20" ht="12.75" x14ac:dyDescent="0.2">
      <c r="P393" s="31"/>
      <c r="Q393" s="31"/>
      <c r="R393" s="31"/>
      <c r="T393" s="31"/>
    </row>
    <row r="394" spans="16:20" ht="12.75" x14ac:dyDescent="0.2">
      <c r="P394" s="31"/>
      <c r="Q394" s="31"/>
      <c r="R394" s="31"/>
      <c r="T394" s="31"/>
    </row>
    <row r="395" spans="16:20" ht="12.75" x14ac:dyDescent="0.2">
      <c r="P395" s="31"/>
      <c r="Q395" s="31"/>
      <c r="R395" s="31"/>
      <c r="T395" s="31"/>
    </row>
    <row r="396" spans="16:20" ht="12.75" x14ac:dyDescent="0.2">
      <c r="P396" s="31"/>
      <c r="Q396" s="31"/>
      <c r="R396" s="31"/>
      <c r="T396" s="31"/>
    </row>
    <row r="397" spans="16:20" ht="12.75" x14ac:dyDescent="0.2">
      <c r="P397" s="31"/>
      <c r="Q397" s="31"/>
      <c r="R397" s="31"/>
      <c r="T397" s="31"/>
    </row>
    <row r="398" spans="16:20" ht="12.75" x14ac:dyDescent="0.2">
      <c r="P398" s="31"/>
      <c r="Q398" s="31"/>
      <c r="R398" s="31"/>
      <c r="T398" s="31"/>
    </row>
    <row r="399" spans="16:20" ht="12.75" x14ac:dyDescent="0.2">
      <c r="P399" s="31"/>
      <c r="Q399" s="31"/>
      <c r="R399" s="31"/>
      <c r="T399" s="31"/>
    </row>
    <row r="400" spans="16:20" ht="12.75" x14ac:dyDescent="0.2">
      <c r="P400" s="31"/>
      <c r="Q400" s="31"/>
      <c r="R400" s="31"/>
      <c r="T400" s="31"/>
    </row>
    <row r="401" spans="16:20" ht="12.75" x14ac:dyDescent="0.2">
      <c r="P401" s="31"/>
      <c r="Q401" s="31"/>
      <c r="R401" s="31"/>
      <c r="T401" s="31"/>
    </row>
    <row r="402" spans="16:20" ht="12.75" x14ac:dyDescent="0.2">
      <c r="P402" s="31"/>
      <c r="Q402" s="31"/>
      <c r="R402" s="31"/>
      <c r="T402" s="31"/>
    </row>
    <row r="403" spans="16:20" ht="12.75" x14ac:dyDescent="0.2">
      <c r="P403" s="31"/>
      <c r="Q403" s="31"/>
      <c r="R403" s="31"/>
      <c r="T403" s="31"/>
    </row>
    <row r="404" spans="16:20" ht="12.75" x14ac:dyDescent="0.2">
      <c r="P404" s="31"/>
      <c r="Q404" s="31"/>
      <c r="R404" s="31"/>
      <c r="T404" s="31"/>
    </row>
    <row r="405" spans="16:20" ht="12.75" x14ac:dyDescent="0.2">
      <c r="P405" s="31"/>
      <c r="Q405" s="31"/>
      <c r="R405" s="31"/>
      <c r="T405" s="31"/>
    </row>
    <row r="406" spans="16:20" ht="12.75" x14ac:dyDescent="0.2">
      <c r="P406" s="31"/>
      <c r="Q406" s="31"/>
      <c r="R406" s="31"/>
      <c r="T406" s="31"/>
    </row>
    <row r="407" spans="16:20" ht="12.75" x14ac:dyDescent="0.2">
      <c r="P407" s="31"/>
      <c r="Q407" s="31"/>
      <c r="R407" s="31"/>
      <c r="T407" s="31"/>
    </row>
    <row r="408" spans="16:20" ht="12.75" x14ac:dyDescent="0.2">
      <c r="P408" s="31"/>
      <c r="Q408" s="31"/>
      <c r="R408" s="31"/>
      <c r="T408" s="31"/>
    </row>
    <row r="409" spans="16:20" ht="12.75" x14ac:dyDescent="0.2">
      <c r="P409" s="31"/>
      <c r="Q409" s="31"/>
      <c r="R409" s="31"/>
      <c r="T409" s="31"/>
    </row>
    <row r="410" spans="16:20" ht="12.75" x14ac:dyDescent="0.2">
      <c r="P410" s="31"/>
      <c r="Q410" s="31"/>
      <c r="R410" s="31"/>
      <c r="T410" s="31"/>
    </row>
    <row r="411" spans="16:20" ht="12.75" x14ac:dyDescent="0.2">
      <c r="P411" s="31"/>
      <c r="Q411" s="31"/>
      <c r="R411" s="31"/>
      <c r="T411" s="31"/>
    </row>
    <row r="412" spans="16:20" ht="12.75" x14ac:dyDescent="0.2">
      <c r="P412" s="31"/>
      <c r="Q412" s="31"/>
      <c r="R412" s="31"/>
      <c r="T412" s="31"/>
    </row>
    <row r="413" spans="16:20" ht="12.75" x14ac:dyDescent="0.2">
      <c r="P413" s="31"/>
      <c r="Q413" s="31"/>
      <c r="R413" s="31"/>
      <c r="T413" s="31"/>
    </row>
    <row r="414" spans="16:20" ht="12.75" x14ac:dyDescent="0.2">
      <c r="P414" s="31"/>
      <c r="Q414" s="31"/>
      <c r="R414" s="31"/>
      <c r="T414" s="31"/>
    </row>
    <row r="415" spans="16:20" ht="12.75" x14ac:dyDescent="0.2">
      <c r="P415" s="31"/>
      <c r="Q415" s="31"/>
      <c r="R415" s="31"/>
      <c r="T415" s="31"/>
    </row>
    <row r="416" spans="16:20" ht="12.75" x14ac:dyDescent="0.2">
      <c r="P416" s="31"/>
      <c r="Q416" s="31"/>
      <c r="R416" s="31"/>
      <c r="T416" s="31"/>
    </row>
    <row r="417" spans="16:20" ht="12.75" x14ac:dyDescent="0.2">
      <c r="P417" s="31"/>
      <c r="Q417" s="31"/>
      <c r="R417" s="31"/>
      <c r="T417" s="31"/>
    </row>
    <row r="418" spans="16:20" ht="12.75" x14ac:dyDescent="0.2">
      <c r="P418" s="31"/>
      <c r="Q418" s="31"/>
      <c r="R418" s="31"/>
      <c r="T418" s="31"/>
    </row>
    <row r="419" spans="16:20" ht="12.75" x14ac:dyDescent="0.2">
      <c r="P419" s="31"/>
      <c r="Q419" s="31"/>
      <c r="R419" s="31"/>
      <c r="T419" s="31"/>
    </row>
    <row r="420" spans="16:20" ht="12.75" x14ac:dyDescent="0.2">
      <c r="P420" s="31"/>
      <c r="Q420" s="31"/>
      <c r="R420" s="31"/>
      <c r="T420" s="31"/>
    </row>
    <row r="421" spans="16:20" ht="12.75" x14ac:dyDescent="0.2">
      <c r="P421" s="31"/>
      <c r="Q421" s="31"/>
      <c r="R421" s="31"/>
      <c r="T421" s="31"/>
    </row>
    <row r="422" spans="16:20" ht="12.75" x14ac:dyDescent="0.2">
      <c r="P422" s="31"/>
      <c r="Q422" s="31"/>
      <c r="R422" s="31"/>
      <c r="T422" s="31"/>
    </row>
    <row r="423" spans="16:20" ht="12.75" x14ac:dyDescent="0.2">
      <c r="P423" s="31"/>
      <c r="Q423" s="31"/>
      <c r="R423" s="31"/>
      <c r="T423" s="31"/>
    </row>
    <row r="424" spans="16:20" ht="12.75" x14ac:dyDescent="0.2">
      <c r="P424" s="31"/>
      <c r="Q424" s="31"/>
      <c r="R424" s="31"/>
      <c r="T424" s="31"/>
    </row>
    <row r="425" spans="16:20" ht="12.75" x14ac:dyDescent="0.2">
      <c r="P425" s="31"/>
      <c r="Q425" s="31"/>
      <c r="R425" s="31"/>
      <c r="T425" s="31"/>
    </row>
    <row r="426" spans="16:20" ht="12.75" x14ac:dyDescent="0.2">
      <c r="P426" s="31"/>
      <c r="Q426" s="31"/>
      <c r="R426" s="31"/>
      <c r="T426" s="31"/>
    </row>
    <row r="427" spans="16:20" ht="12.75" x14ac:dyDescent="0.2">
      <c r="P427" s="31"/>
      <c r="Q427" s="31"/>
      <c r="R427" s="31"/>
      <c r="T427" s="31"/>
    </row>
    <row r="428" spans="16:20" ht="12.75" x14ac:dyDescent="0.2">
      <c r="P428" s="31"/>
      <c r="Q428" s="31"/>
      <c r="R428" s="31"/>
      <c r="T428" s="31"/>
    </row>
    <row r="429" spans="16:20" ht="12.75" x14ac:dyDescent="0.2">
      <c r="P429" s="31"/>
      <c r="Q429" s="31"/>
      <c r="R429" s="31"/>
      <c r="T429" s="31"/>
    </row>
    <row r="430" spans="16:20" ht="12.75" x14ac:dyDescent="0.2">
      <c r="P430" s="31"/>
      <c r="Q430" s="31"/>
      <c r="R430" s="31"/>
      <c r="T430" s="31"/>
    </row>
    <row r="431" spans="16:20" ht="12.75" x14ac:dyDescent="0.2">
      <c r="P431" s="31"/>
      <c r="Q431" s="31"/>
      <c r="R431" s="31"/>
      <c r="T431" s="31"/>
    </row>
    <row r="432" spans="16:20" ht="12.75" x14ac:dyDescent="0.2">
      <c r="P432" s="31"/>
      <c r="Q432" s="31"/>
      <c r="R432" s="31"/>
      <c r="T432" s="31"/>
    </row>
    <row r="433" spans="16:20" ht="12.75" x14ac:dyDescent="0.2">
      <c r="P433" s="31"/>
      <c r="Q433" s="31"/>
      <c r="R433" s="31"/>
      <c r="T433" s="31"/>
    </row>
    <row r="434" spans="16:20" ht="12.75" x14ac:dyDescent="0.2">
      <c r="P434" s="31"/>
      <c r="Q434" s="31"/>
      <c r="R434" s="31"/>
      <c r="T434" s="31"/>
    </row>
    <row r="435" spans="16:20" ht="12.75" x14ac:dyDescent="0.2">
      <c r="P435" s="31"/>
      <c r="Q435" s="31"/>
      <c r="R435" s="31"/>
      <c r="T435" s="31"/>
    </row>
    <row r="436" spans="16:20" ht="12.75" x14ac:dyDescent="0.2">
      <c r="P436" s="31"/>
      <c r="Q436" s="31"/>
      <c r="R436" s="31"/>
      <c r="T436" s="31"/>
    </row>
    <row r="437" spans="16:20" ht="12.75" x14ac:dyDescent="0.2">
      <c r="P437" s="31"/>
      <c r="Q437" s="31"/>
      <c r="R437" s="31"/>
      <c r="T437" s="31"/>
    </row>
    <row r="438" spans="16:20" ht="12.75" x14ac:dyDescent="0.2">
      <c r="P438" s="31"/>
      <c r="Q438" s="31"/>
      <c r="R438" s="31"/>
      <c r="T438" s="31"/>
    </row>
    <row r="439" spans="16:20" ht="12.75" x14ac:dyDescent="0.2">
      <c r="P439" s="31"/>
      <c r="Q439" s="31"/>
      <c r="R439" s="31"/>
      <c r="T439" s="31"/>
    </row>
    <row r="440" spans="16:20" ht="12.75" x14ac:dyDescent="0.2">
      <c r="P440" s="31"/>
      <c r="Q440" s="31"/>
      <c r="R440" s="31"/>
      <c r="T440" s="31"/>
    </row>
    <row r="441" spans="16:20" ht="12.75" x14ac:dyDescent="0.2">
      <c r="P441" s="31"/>
      <c r="Q441" s="31"/>
      <c r="R441" s="31"/>
      <c r="T441" s="31"/>
    </row>
    <row r="442" spans="16:20" ht="12.75" x14ac:dyDescent="0.2">
      <c r="P442" s="31"/>
      <c r="Q442" s="31"/>
      <c r="R442" s="31"/>
      <c r="T442" s="31"/>
    </row>
    <row r="443" spans="16:20" ht="12.75" x14ac:dyDescent="0.2">
      <c r="P443" s="31"/>
      <c r="Q443" s="31"/>
      <c r="R443" s="31"/>
      <c r="T443" s="31"/>
    </row>
    <row r="444" spans="16:20" ht="12.75" x14ac:dyDescent="0.2">
      <c r="P444" s="31"/>
      <c r="Q444" s="31"/>
      <c r="R444" s="31"/>
      <c r="T444" s="31"/>
    </row>
    <row r="445" spans="16:20" ht="12.75" x14ac:dyDescent="0.2">
      <c r="P445" s="31"/>
      <c r="Q445" s="31"/>
      <c r="R445" s="31"/>
      <c r="T445" s="31"/>
    </row>
    <row r="446" spans="16:20" ht="12.75" x14ac:dyDescent="0.2">
      <c r="P446" s="31"/>
      <c r="Q446" s="31"/>
      <c r="R446" s="31"/>
      <c r="T446" s="31"/>
    </row>
    <row r="447" spans="16:20" ht="12.75" x14ac:dyDescent="0.2">
      <c r="P447" s="31"/>
      <c r="Q447" s="31"/>
      <c r="R447" s="31"/>
      <c r="T447" s="31"/>
    </row>
    <row r="448" spans="16:20" ht="12.75" x14ac:dyDescent="0.2">
      <c r="P448" s="31"/>
      <c r="Q448" s="31"/>
      <c r="R448" s="31"/>
      <c r="T448" s="31"/>
    </row>
    <row r="449" spans="16:20" ht="12.75" x14ac:dyDescent="0.2">
      <c r="P449" s="31"/>
      <c r="Q449" s="31"/>
      <c r="R449" s="31"/>
      <c r="T449" s="31"/>
    </row>
    <row r="450" spans="16:20" ht="12.75" x14ac:dyDescent="0.2">
      <c r="P450" s="31"/>
      <c r="Q450" s="31"/>
      <c r="R450" s="31"/>
      <c r="T450" s="31"/>
    </row>
    <row r="451" spans="16:20" ht="12.75" x14ac:dyDescent="0.2">
      <c r="P451" s="31"/>
      <c r="Q451" s="31"/>
      <c r="R451" s="31"/>
      <c r="T451" s="31"/>
    </row>
    <row r="452" spans="16:20" ht="12.75" x14ac:dyDescent="0.2">
      <c r="P452" s="31"/>
      <c r="Q452" s="31"/>
      <c r="R452" s="31"/>
      <c r="T452" s="31"/>
    </row>
    <row r="453" spans="16:20" ht="12.75" x14ac:dyDescent="0.2">
      <c r="P453" s="31"/>
      <c r="Q453" s="31"/>
      <c r="R453" s="31"/>
      <c r="T453" s="31"/>
    </row>
    <row r="454" spans="16:20" ht="12.75" x14ac:dyDescent="0.2">
      <c r="P454" s="31"/>
      <c r="Q454" s="31"/>
      <c r="R454" s="31"/>
      <c r="T454" s="31"/>
    </row>
    <row r="455" spans="16:20" ht="12.75" x14ac:dyDescent="0.2">
      <c r="P455" s="31"/>
      <c r="Q455" s="31"/>
      <c r="R455" s="31"/>
      <c r="T455" s="31"/>
    </row>
    <row r="456" spans="16:20" ht="12.75" x14ac:dyDescent="0.2">
      <c r="P456" s="31"/>
      <c r="Q456" s="31"/>
      <c r="R456" s="31"/>
      <c r="T456" s="31"/>
    </row>
    <row r="457" spans="16:20" ht="12.75" x14ac:dyDescent="0.2">
      <c r="P457" s="31"/>
      <c r="Q457" s="31"/>
      <c r="R457" s="31"/>
      <c r="T457" s="31"/>
    </row>
    <row r="458" spans="16:20" ht="12.75" x14ac:dyDescent="0.2">
      <c r="P458" s="31"/>
      <c r="Q458" s="31"/>
      <c r="R458" s="31"/>
      <c r="T458" s="31"/>
    </row>
    <row r="459" spans="16:20" ht="12.75" x14ac:dyDescent="0.2">
      <c r="P459" s="31"/>
      <c r="Q459" s="31"/>
      <c r="R459" s="31"/>
      <c r="T459" s="31"/>
    </row>
    <row r="460" spans="16:20" ht="12.75" x14ac:dyDescent="0.2">
      <c r="P460" s="31"/>
      <c r="Q460" s="31"/>
      <c r="R460" s="31"/>
      <c r="T460" s="31"/>
    </row>
    <row r="461" spans="16:20" ht="12.75" x14ac:dyDescent="0.2">
      <c r="P461" s="31"/>
      <c r="Q461" s="31"/>
      <c r="R461" s="31"/>
      <c r="T461" s="31"/>
    </row>
    <row r="462" spans="16:20" ht="12.75" x14ac:dyDescent="0.2">
      <c r="P462" s="31"/>
      <c r="Q462" s="31"/>
      <c r="R462" s="31"/>
      <c r="T462" s="31"/>
    </row>
    <row r="463" spans="16:20" ht="12.75" x14ac:dyDescent="0.2">
      <c r="P463" s="31"/>
      <c r="Q463" s="31"/>
      <c r="R463" s="31"/>
      <c r="T463" s="31"/>
    </row>
    <row r="464" spans="16:20" ht="12.75" x14ac:dyDescent="0.2">
      <c r="P464" s="31"/>
      <c r="Q464" s="31"/>
      <c r="R464" s="31"/>
      <c r="T464" s="31"/>
    </row>
    <row r="465" spans="16:20" ht="12.75" x14ac:dyDescent="0.2">
      <c r="P465" s="31"/>
      <c r="Q465" s="31"/>
      <c r="R465" s="31"/>
      <c r="T465" s="31"/>
    </row>
    <row r="466" spans="16:20" ht="12.75" x14ac:dyDescent="0.2">
      <c r="P466" s="31"/>
      <c r="Q466" s="31"/>
      <c r="R466" s="31"/>
      <c r="T466" s="31"/>
    </row>
    <row r="467" spans="16:20" ht="12.75" x14ac:dyDescent="0.2">
      <c r="P467" s="31"/>
      <c r="Q467" s="31"/>
      <c r="R467" s="31"/>
      <c r="T467" s="31"/>
    </row>
    <row r="468" spans="16:20" ht="12.75" x14ac:dyDescent="0.2">
      <c r="P468" s="31"/>
      <c r="Q468" s="31"/>
      <c r="R468" s="31"/>
      <c r="T468" s="31"/>
    </row>
    <row r="469" spans="16:20" ht="12.75" x14ac:dyDescent="0.2">
      <c r="P469" s="31"/>
      <c r="Q469" s="31"/>
      <c r="R469" s="31"/>
      <c r="T469" s="31"/>
    </row>
    <row r="470" spans="16:20" ht="12.75" x14ac:dyDescent="0.2">
      <c r="P470" s="31"/>
      <c r="Q470" s="31"/>
      <c r="R470" s="31"/>
      <c r="T470" s="31"/>
    </row>
    <row r="471" spans="16:20" ht="12.75" x14ac:dyDescent="0.2">
      <c r="P471" s="31"/>
      <c r="Q471" s="31"/>
      <c r="R471" s="31"/>
      <c r="T471" s="31"/>
    </row>
    <row r="472" spans="16:20" ht="12.75" x14ac:dyDescent="0.2">
      <c r="P472" s="31"/>
      <c r="Q472" s="31"/>
      <c r="R472" s="31"/>
      <c r="T472" s="31"/>
    </row>
    <row r="473" spans="16:20" ht="12.75" x14ac:dyDescent="0.2">
      <c r="P473" s="31"/>
      <c r="Q473" s="31"/>
      <c r="R473" s="31"/>
      <c r="T473" s="31"/>
    </row>
    <row r="474" spans="16:20" ht="12.75" x14ac:dyDescent="0.2">
      <c r="P474" s="31"/>
      <c r="Q474" s="31"/>
      <c r="R474" s="31"/>
      <c r="T474" s="31"/>
    </row>
    <row r="475" spans="16:20" ht="12.75" x14ac:dyDescent="0.2">
      <c r="P475" s="31"/>
      <c r="Q475" s="31"/>
      <c r="R475" s="31"/>
      <c r="T475" s="31"/>
    </row>
    <row r="476" spans="16:20" ht="12.75" x14ac:dyDescent="0.2">
      <c r="P476" s="31"/>
      <c r="Q476" s="31"/>
      <c r="R476" s="31"/>
      <c r="T476" s="31"/>
    </row>
    <row r="477" spans="16:20" ht="12.75" x14ac:dyDescent="0.2">
      <c r="P477" s="31"/>
      <c r="Q477" s="31"/>
      <c r="R477" s="31"/>
      <c r="T477" s="31"/>
    </row>
    <row r="478" spans="16:20" ht="12.75" x14ac:dyDescent="0.2">
      <c r="P478" s="31"/>
      <c r="Q478" s="31"/>
      <c r="R478" s="31"/>
      <c r="T478" s="31"/>
    </row>
    <row r="479" spans="16:20" ht="12.75" x14ac:dyDescent="0.2">
      <c r="P479" s="31"/>
      <c r="Q479" s="31"/>
      <c r="R479" s="31"/>
      <c r="T479" s="31"/>
    </row>
    <row r="480" spans="16:20" ht="12.75" x14ac:dyDescent="0.2">
      <c r="P480" s="31"/>
      <c r="Q480" s="31"/>
      <c r="R480" s="31"/>
      <c r="T480" s="31"/>
    </row>
    <row r="481" spans="16:20" ht="12.75" x14ac:dyDescent="0.2">
      <c r="P481" s="31"/>
      <c r="Q481" s="31"/>
      <c r="R481" s="31"/>
      <c r="T481" s="31"/>
    </row>
    <row r="482" spans="16:20" ht="12.75" x14ac:dyDescent="0.2">
      <c r="P482" s="31"/>
      <c r="Q482" s="31"/>
      <c r="R482" s="31"/>
      <c r="T482" s="31"/>
    </row>
    <row r="483" spans="16:20" ht="12.75" x14ac:dyDescent="0.2">
      <c r="P483" s="31"/>
      <c r="Q483" s="31"/>
      <c r="R483" s="31"/>
      <c r="T483" s="31"/>
    </row>
    <row r="484" spans="16:20" ht="12.75" x14ac:dyDescent="0.2">
      <c r="P484" s="31"/>
      <c r="Q484" s="31"/>
      <c r="R484" s="31"/>
      <c r="T484" s="31"/>
    </row>
    <row r="485" spans="16:20" ht="12.75" x14ac:dyDescent="0.2">
      <c r="P485" s="31"/>
      <c r="Q485" s="31"/>
      <c r="R485" s="31"/>
      <c r="T485" s="31"/>
    </row>
    <row r="486" spans="16:20" ht="12.75" x14ac:dyDescent="0.2">
      <c r="P486" s="31"/>
      <c r="Q486" s="31"/>
      <c r="R486" s="31"/>
      <c r="T486" s="31"/>
    </row>
    <row r="487" spans="16:20" ht="12.75" x14ac:dyDescent="0.2">
      <c r="P487" s="31"/>
      <c r="Q487" s="31"/>
      <c r="R487" s="31"/>
      <c r="T487" s="31"/>
    </row>
    <row r="488" spans="16:20" ht="12.75" x14ac:dyDescent="0.2">
      <c r="P488" s="31"/>
      <c r="Q488" s="31"/>
      <c r="R488" s="31"/>
      <c r="T488" s="31"/>
    </row>
    <row r="489" spans="16:20" ht="12.75" x14ac:dyDescent="0.2">
      <c r="P489" s="31"/>
      <c r="Q489" s="31"/>
      <c r="R489" s="31"/>
      <c r="T489" s="31"/>
    </row>
    <row r="490" spans="16:20" ht="12.75" x14ac:dyDescent="0.2">
      <c r="P490" s="31"/>
      <c r="Q490" s="31"/>
      <c r="R490" s="31"/>
      <c r="T490" s="31"/>
    </row>
    <row r="491" spans="16:20" ht="12.75" x14ac:dyDescent="0.2">
      <c r="P491" s="31"/>
      <c r="Q491" s="31"/>
      <c r="R491" s="31"/>
      <c r="T491" s="31"/>
    </row>
    <row r="492" spans="16:20" ht="12.75" x14ac:dyDescent="0.2">
      <c r="P492" s="31"/>
      <c r="Q492" s="31"/>
      <c r="R492" s="31"/>
      <c r="T492" s="31"/>
    </row>
    <row r="493" spans="16:20" ht="12.75" x14ac:dyDescent="0.2">
      <c r="P493" s="31"/>
      <c r="Q493" s="31"/>
      <c r="R493" s="31"/>
      <c r="T493" s="31"/>
    </row>
    <row r="494" spans="16:20" ht="12.75" x14ac:dyDescent="0.2">
      <c r="P494" s="31"/>
      <c r="Q494" s="31"/>
      <c r="R494" s="31"/>
      <c r="T494" s="31"/>
    </row>
    <row r="495" spans="16:20" ht="12.75" x14ac:dyDescent="0.2">
      <c r="P495" s="31"/>
      <c r="Q495" s="31"/>
      <c r="R495" s="31"/>
      <c r="T495" s="31"/>
    </row>
    <row r="496" spans="16:20" ht="12.75" x14ac:dyDescent="0.2">
      <c r="P496" s="31"/>
      <c r="Q496" s="31"/>
      <c r="R496" s="31"/>
      <c r="T496" s="31"/>
    </row>
    <row r="497" spans="16:20" ht="12.75" x14ac:dyDescent="0.2">
      <c r="P497" s="31"/>
      <c r="Q497" s="31"/>
      <c r="R497" s="31"/>
      <c r="T497" s="31"/>
    </row>
    <row r="498" spans="16:20" ht="12.75" x14ac:dyDescent="0.2">
      <c r="P498" s="31"/>
      <c r="Q498" s="31"/>
      <c r="R498" s="31"/>
      <c r="T498" s="31"/>
    </row>
    <row r="499" spans="16:20" ht="12.75" x14ac:dyDescent="0.2">
      <c r="P499" s="31"/>
      <c r="Q499" s="31"/>
      <c r="R499" s="31"/>
      <c r="T499" s="31"/>
    </row>
    <row r="500" spans="16:20" ht="12.75" x14ac:dyDescent="0.2">
      <c r="P500" s="31"/>
      <c r="Q500" s="31"/>
      <c r="R500" s="31"/>
      <c r="T500" s="31"/>
    </row>
    <row r="501" spans="16:20" ht="12.75" x14ac:dyDescent="0.2">
      <c r="P501" s="31"/>
      <c r="Q501" s="31"/>
      <c r="R501" s="31"/>
      <c r="T501" s="31"/>
    </row>
    <row r="502" spans="16:20" ht="12.75" x14ac:dyDescent="0.2">
      <c r="P502" s="31"/>
      <c r="Q502" s="31"/>
      <c r="R502" s="31"/>
      <c r="T502" s="31"/>
    </row>
    <row r="503" spans="16:20" ht="12.75" x14ac:dyDescent="0.2">
      <c r="P503" s="31"/>
      <c r="Q503" s="31"/>
      <c r="R503" s="31"/>
      <c r="T503" s="31"/>
    </row>
    <row r="504" spans="16:20" ht="12.75" x14ac:dyDescent="0.2">
      <c r="P504" s="31"/>
      <c r="Q504" s="31"/>
      <c r="R504" s="31"/>
      <c r="T504" s="31"/>
    </row>
    <row r="505" spans="16:20" ht="12.75" x14ac:dyDescent="0.2">
      <c r="P505" s="31"/>
      <c r="Q505" s="31"/>
      <c r="R505" s="31"/>
      <c r="T505" s="31"/>
    </row>
    <row r="506" spans="16:20" ht="12.75" x14ac:dyDescent="0.2">
      <c r="P506" s="31"/>
      <c r="Q506" s="31"/>
      <c r="R506" s="31"/>
      <c r="T506" s="31"/>
    </row>
    <row r="507" spans="16:20" ht="12.75" x14ac:dyDescent="0.2">
      <c r="P507" s="31"/>
      <c r="Q507" s="31"/>
      <c r="R507" s="31"/>
      <c r="T507" s="31"/>
    </row>
    <row r="508" spans="16:20" ht="12.75" x14ac:dyDescent="0.2">
      <c r="P508" s="31"/>
      <c r="Q508" s="31"/>
      <c r="R508" s="31"/>
      <c r="T508" s="31"/>
    </row>
    <row r="509" spans="16:20" ht="12.75" x14ac:dyDescent="0.2">
      <c r="P509" s="31"/>
      <c r="Q509" s="31"/>
      <c r="R509" s="31"/>
      <c r="T509" s="31"/>
    </row>
    <row r="510" spans="16:20" ht="12.75" x14ac:dyDescent="0.2">
      <c r="P510" s="31"/>
      <c r="Q510" s="31"/>
      <c r="R510" s="31"/>
      <c r="T510" s="31"/>
    </row>
    <row r="511" spans="16:20" ht="12.75" x14ac:dyDescent="0.2">
      <c r="P511" s="31"/>
      <c r="Q511" s="31"/>
      <c r="R511" s="31"/>
      <c r="T511" s="31"/>
    </row>
    <row r="512" spans="16:20" ht="12.75" x14ac:dyDescent="0.2">
      <c r="P512" s="31"/>
      <c r="Q512" s="31"/>
      <c r="R512" s="31"/>
      <c r="T512" s="31"/>
    </row>
    <row r="513" spans="16:20" ht="12.75" x14ac:dyDescent="0.2">
      <c r="P513" s="31"/>
      <c r="Q513" s="31"/>
      <c r="R513" s="31"/>
      <c r="T513" s="31"/>
    </row>
    <row r="514" spans="16:20" ht="12.75" x14ac:dyDescent="0.2">
      <c r="P514" s="31"/>
      <c r="Q514" s="31"/>
      <c r="R514" s="31"/>
      <c r="T514" s="31"/>
    </row>
    <row r="515" spans="16:20" ht="12.75" x14ac:dyDescent="0.2">
      <c r="P515" s="31"/>
      <c r="Q515" s="31"/>
      <c r="R515" s="31"/>
      <c r="T515" s="31"/>
    </row>
    <row r="516" spans="16:20" ht="12.75" x14ac:dyDescent="0.2">
      <c r="P516" s="31"/>
      <c r="Q516" s="31"/>
      <c r="R516" s="31"/>
      <c r="T516" s="31"/>
    </row>
    <row r="517" spans="16:20" ht="12.75" x14ac:dyDescent="0.2">
      <c r="P517" s="31"/>
      <c r="Q517" s="31"/>
      <c r="R517" s="31"/>
      <c r="T517" s="31"/>
    </row>
    <row r="518" spans="16:20" ht="12.75" x14ac:dyDescent="0.2">
      <c r="P518" s="31"/>
      <c r="Q518" s="31"/>
      <c r="R518" s="31"/>
      <c r="T518" s="31"/>
    </row>
    <row r="519" spans="16:20" ht="12.75" x14ac:dyDescent="0.2">
      <c r="P519" s="31"/>
      <c r="Q519" s="31"/>
      <c r="R519" s="31"/>
      <c r="T519" s="31"/>
    </row>
    <row r="520" spans="16:20" ht="12.75" x14ac:dyDescent="0.2">
      <c r="P520" s="31"/>
      <c r="Q520" s="31"/>
      <c r="R520" s="31"/>
      <c r="T520" s="31"/>
    </row>
    <row r="521" spans="16:20" ht="12.75" x14ac:dyDescent="0.2">
      <c r="P521" s="31"/>
      <c r="Q521" s="31"/>
      <c r="R521" s="31"/>
      <c r="T521" s="31"/>
    </row>
    <row r="522" spans="16:20" ht="12.75" x14ac:dyDescent="0.2">
      <c r="P522" s="31"/>
      <c r="Q522" s="31"/>
      <c r="R522" s="31"/>
      <c r="T522" s="31"/>
    </row>
    <row r="523" spans="16:20" ht="12.75" x14ac:dyDescent="0.2">
      <c r="P523" s="31"/>
      <c r="Q523" s="31"/>
      <c r="R523" s="31"/>
      <c r="T523" s="31"/>
    </row>
    <row r="524" spans="16:20" ht="12.75" x14ac:dyDescent="0.2">
      <c r="P524" s="31"/>
      <c r="Q524" s="31"/>
      <c r="R524" s="31"/>
      <c r="T524" s="31"/>
    </row>
    <row r="525" spans="16:20" ht="12.75" x14ac:dyDescent="0.2">
      <c r="P525" s="31"/>
      <c r="Q525" s="31"/>
      <c r="R525" s="31"/>
      <c r="T525" s="31"/>
    </row>
    <row r="526" spans="16:20" ht="12.75" x14ac:dyDescent="0.2">
      <c r="P526" s="31"/>
      <c r="Q526" s="31"/>
      <c r="R526" s="31"/>
      <c r="T526" s="31"/>
    </row>
    <row r="527" spans="16:20" ht="12.75" x14ac:dyDescent="0.2">
      <c r="P527" s="31"/>
      <c r="Q527" s="31"/>
      <c r="R527" s="31"/>
      <c r="T527" s="31"/>
    </row>
    <row r="528" spans="16:20" ht="12.75" x14ac:dyDescent="0.2">
      <c r="P528" s="31"/>
      <c r="Q528" s="31"/>
      <c r="R528" s="31"/>
      <c r="T528" s="31"/>
    </row>
    <row r="529" spans="16:20" ht="12.75" x14ac:dyDescent="0.2">
      <c r="P529" s="31"/>
      <c r="Q529" s="31"/>
      <c r="R529" s="31"/>
      <c r="T529" s="31"/>
    </row>
    <row r="530" spans="16:20" ht="12.75" x14ac:dyDescent="0.2">
      <c r="P530" s="31"/>
      <c r="Q530" s="31"/>
      <c r="R530" s="31"/>
      <c r="T530" s="31"/>
    </row>
    <row r="531" spans="16:20" ht="12.75" x14ac:dyDescent="0.2">
      <c r="P531" s="31"/>
      <c r="Q531" s="31"/>
      <c r="R531" s="31"/>
      <c r="T531" s="31"/>
    </row>
    <row r="532" spans="16:20" ht="12.75" x14ac:dyDescent="0.2">
      <c r="P532" s="31"/>
      <c r="Q532" s="31"/>
      <c r="R532" s="31"/>
      <c r="T532" s="31"/>
    </row>
    <row r="533" spans="16:20" ht="12.75" x14ac:dyDescent="0.2">
      <c r="P533" s="31"/>
      <c r="Q533" s="31"/>
      <c r="R533" s="31"/>
      <c r="T533" s="31"/>
    </row>
    <row r="534" spans="16:20" ht="12.75" x14ac:dyDescent="0.2">
      <c r="P534" s="31"/>
      <c r="Q534" s="31"/>
      <c r="R534" s="31"/>
      <c r="T534" s="31"/>
    </row>
    <row r="535" spans="16:20" ht="12.75" x14ac:dyDescent="0.2">
      <c r="P535" s="31"/>
      <c r="Q535" s="31"/>
      <c r="R535" s="31"/>
      <c r="T535" s="31"/>
    </row>
    <row r="536" spans="16:20" ht="12.75" x14ac:dyDescent="0.2">
      <c r="P536" s="31"/>
      <c r="Q536" s="31"/>
      <c r="R536" s="31"/>
      <c r="T536" s="31"/>
    </row>
    <row r="537" spans="16:20" ht="12.75" x14ac:dyDescent="0.2">
      <c r="P537" s="31"/>
      <c r="Q537" s="31"/>
      <c r="R537" s="31"/>
      <c r="T537" s="31"/>
    </row>
    <row r="538" spans="16:20" ht="12.75" x14ac:dyDescent="0.2">
      <c r="P538" s="31"/>
      <c r="Q538" s="31"/>
      <c r="R538" s="31"/>
      <c r="T538" s="31"/>
    </row>
    <row r="539" spans="16:20" ht="12.75" x14ac:dyDescent="0.2">
      <c r="P539" s="31"/>
      <c r="Q539" s="31"/>
      <c r="R539" s="31"/>
      <c r="T539" s="31"/>
    </row>
    <row r="540" spans="16:20" ht="12.75" x14ac:dyDescent="0.2">
      <c r="P540" s="31"/>
      <c r="Q540" s="31"/>
      <c r="R540" s="31"/>
      <c r="T540" s="31"/>
    </row>
    <row r="541" spans="16:20" ht="12.75" x14ac:dyDescent="0.2">
      <c r="P541" s="31"/>
      <c r="Q541" s="31"/>
      <c r="R541" s="31"/>
      <c r="T541" s="31"/>
    </row>
    <row r="542" spans="16:20" ht="12.75" x14ac:dyDescent="0.2">
      <c r="P542" s="31"/>
      <c r="Q542" s="31"/>
      <c r="R542" s="31"/>
      <c r="T542" s="31"/>
    </row>
    <row r="543" spans="16:20" ht="12.75" x14ac:dyDescent="0.2">
      <c r="P543" s="31"/>
      <c r="Q543" s="31"/>
      <c r="R543" s="31"/>
      <c r="T543" s="31"/>
    </row>
    <row r="544" spans="16:20" ht="12.75" x14ac:dyDescent="0.2">
      <c r="P544" s="31"/>
      <c r="Q544" s="31"/>
      <c r="R544" s="31"/>
      <c r="T544" s="31"/>
    </row>
    <row r="545" spans="16:20" ht="12.75" x14ac:dyDescent="0.2">
      <c r="P545" s="31"/>
      <c r="Q545" s="31"/>
      <c r="R545" s="31"/>
      <c r="T545" s="31"/>
    </row>
    <row r="546" spans="16:20" ht="12.75" x14ac:dyDescent="0.2">
      <c r="P546" s="31"/>
      <c r="Q546" s="31"/>
      <c r="R546" s="31"/>
      <c r="T546" s="31"/>
    </row>
    <row r="547" spans="16:20" ht="12.75" x14ac:dyDescent="0.2">
      <c r="P547" s="31"/>
      <c r="Q547" s="31"/>
      <c r="R547" s="31"/>
      <c r="T547" s="31"/>
    </row>
    <row r="548" spans="16:20" ht="12.75" x14ac:dyDescent="0.2">
      <c r="P548" s="31"/>
      <c r="Q548" s="31"/>
      <c r="R548" s="31"/>
      <c r="T548" s="31"/>
    </row>
    <row r="549" spans="16:20" ht="12.75" x14ac:dyDescent="0.2">
      <c r="P549" s="31"/>
      <c r="Q549" s="31"/>
      <c r="R549" s="31"/>
      <c r="T549" s="31"/>
    </row>
    <row r="550" spans="16:20" ht="12.75" x14ac:dyDescent="0.2">
      <c r="P550" s="31"/>
      <c r="Q550" s="31"/>
      <c r="R550" s="31"/>
      <c r="T550" s="31"/>
    </row>
    <row r="551" spans="16:20" ht="12.75" x14ac:dyDescent="0.2">
      <c r="P551" s="31"/>
      <c r="Q551" s="31"/>
      <c r="R551" s="31"/>
      <c r="T551" s="31"/>
    </row>
    <row r="552" spans="16:20" ht="12.75" x14ac:dyDescent="0.2">
      <c r="P552" s="31"/>
      <c r="Q552" s="31"/>
      <c r="R552" s="31"/>
      <c r="T552" s="31"/>
    </row>
    <row r="553" spans="16:20" ht="12.75" x14ac:dyDescent="0.2">
      <c r="P553" s="31"/>
      <c r="Q553" s="31"/>
      <c r="R553" s="31"/>
      <c r="T553" s="31"/>
    </row>
    <row r="554" spans="16:20" ht="12.75" x14ac:dyDescent="0.2">
      <c r="P554" s="31"/>
      <c r="Q554" s="31"/>
      <c r="R554" s="31"/>
      <c r="T554" s="31"/>
    </row>
    <row r="555" spans="16:20" ht="12.75" x14ac:dyDescent="0.2">
      <c r="P555" s="31"/>
      <c r="Q555" s="31"/>
      <c r="R555" s="31"/>
      <c r="T555" s="31"/>
    </row>
    <row r="556" spans="16:20" ht="12.75" x14ac:dyDescent="0.2">
      <c r="P556" s="31"/>
      <c r="Q556" s="31"/>
      <c r="R556" s="31"/>
      <c r="T556" s="31"/>
    </row>
    <row r="557" spans="16:20" ht="12.75" x14ac:dyDescent="0.2">
      <c r="P557" s="31"/>
      <c r="Q557" s="31"/>
      <c r="R557" s="31"/>
      <c r="T557" s="31"/>
    </row>
    <row r="558" spans="16:20" ht="12.75" x14ac:dyDescent="0.2">
      <c r="P558" s="31"/>
      <c r="Q558" s="31"/>
      <c r="R558" s="31"/>
      <c r="T558" s="31"/>
    </row>
    <row r="559" spans="16:20" ht="12.75" x14ac:dyDescent="0.2">
      <c r="P559" s="31"/>
      <c r="Q559" s="31"/>
      <c r="R559" s="31"/>
      <c r="T559" s="31"/>
    </row>
    <row r="560" spans="16:20" ht="12.75" x14ac:dyDescent="0.2">
      <c r="P560" s="31"/>
      <c r="Q560" s="31"/>
      <c r="R560" s="31"/>
      <c r="T560" s="31"/>
    </row>
    <row r="561" spans="16:20" ht="12.75" x14ac:dyDescent="0.2">
      <c r="P561" s="31"/>
      <c r="Q561" s="31"/>
      <c r="R561" s="31"/>
      <c r="T561" s="31"/>
    </row>
    <row r="562" spans="16:20" ht="12.75" x14ac:dyDescent="0.2">
      <c r="P562" s="31"/>
      <c r="Q562" s="31"/>
      <c r="R562" s="31"/>
      <c r="T562" s="31"/>
    </row>
    <row r="563" spans="16:20" ht="12.75" x14ac:dyDescent="0.2">
      <c r="P563" s="31"/>
      <c r="Q563" s="31"/>
      <c r="R563" s="31"/>
      <c r="T563" s="31"/>
    </row>
    <row r="564" spans="16:20" ht="12.75" x14ac:dyDescent="0.2">
      <c r="P564" s="31"/>
      <c r="Q564" s="31"/>
      <c r="R564" s="31"/>
      <c r="T564" s="31"/>
    </row>
    <row r="565" spans="16:20" ht="12.75" x14ac:dyDescent="0.2">
      <c r="P565" s="31"/>
      <c r="Q565" s="31"/>
      <c r="R565" s="31"/>
      <c r="T565" s="31"/>
    </row>
    <row r="566" spans="16:20" ht="12.75" x14ac:dyDescent="0.2">
      <c r="P566" s="31"/>
      <c r="Q566" s="31"/>
      <c r="R566" s="31"/>
      <c r="T566" s="31"/>
    </row>
    <row r="567" spans="16:20" ht="12.75" x14ac:dyDescent="0.2">
      <c r="P567" s="31"/>
      <c r="Q567" s="31"/>
      <c r="R567" s="31"/>
      <c r="T567" s="31"/>
    </row>
    <row r="568" spans="16:20" ht="12.75" x14ac:dyDescent="0.2">
      <c r="P568" s="31"/>
      <c r="Q568" s="31"/>
      <c r="R568" s="31"/>
      <c r="T568" s="31"/>
    </row>
    <row r="569" spans="16:20" ht="12.75" x14ac:dyDescent="0.2">
      <c r="P569" s="31"/>
      <c r="Q569" s="31"/>
      <c r="R569" s="31"/>
      <c r="T569" s="31"/>
    </row>
    <row r="570" spans="16:20" ht="12.75" x14ac:dyDescent="0.2">
      <c r="P570" s="31"/>
      <c r="Q570" s="31"/>
      <c r="R570" s="31"/>
      <c r="T570" s="31"/>
    </row>
    <row r="571" spans="16:20" ht="12.75" x14ac:dyDescent="0.2">
      <c r="P571" s="31"/>
      <c r="Q571" s="31"/>
      <c r="R571" s="31"/>
      <c r="T571" s="31"/>
    </row>
    <row r="572" spans="16:20" ht="12.75" x14ac:dyDescent="0.2">
      <c r="P572" s="31"/>
      <c r="Q572" s="31"/>
      <c r="R572" s="31"/>
      <c r="T572" s="31"/>
    </row>
    <row r="573" spans="16:20" ht="12.75" x14ac:dyDescent="0.2">
      <c r="P573" s="31"/>
      <c r="Q573" s="31"/>
      <c r="R573" s="31"/>
      <c r="T573" s="31"/>
    </row>
    <row r="574" spans="16:20" ht="12.75" x14ac:dyDescent="0.2">
      <c r="P574" s="31"/>
      <c r="Q574" s="31"/>
      <c r="R574" s="31"/>
      <c r="T574" s="31"/>
    </row>
    <row r="575" spans="16:20" ht="12.75" x14ac:dyDescent="0.2">
      <c r="P575" s="31"/>
      <c r="Q575" s="31"/>
      <c r="R575" s="31"/>
      <c r="T575" s="31"/>
    </row>
    <row r="576" spans="16:20" ht="12.75" x14ac:dyDescent="0.2">
      <c r="P576" s="31"/>
      <c r="Q576" s="31"/>
      <c r="R576" s="31"/>
      <c r="T576" s="31"/>
    </row>
    <row r="577" spans="16:20" ht="12.75" x14ac:dyDescent="0.2">
      <c r="P577" s="31"/>
      <c r="Q577" s="31"/>
      <c r="R577" s="31"/>
      <c r="T577" s="31"/>
    </row>
    <row r="578" spans="16:20" ht="12.75" x14ac:dyDescent="0.2">
      <c r="P578" s="31"/>
      <c r="Q578" s="31"/>
      <c r="R578" s="31"/>
      <c r="T578" s="31"/>
    </row>
    <row r="579" spans="16:20" ht="12.75" x14ac:dyDescent="0.2">
      <c r="P579" s="31"/>
      <c r="Q579" s="31"/>
      <c r="R579" s="31"/>
      <c r="T579" s="31"/>
    </row>
    <row r="580" spans="16:20" ht="12.75" x14ac:dyDescent="0.2">
      <c r="P580" s="31"/>
      <c r="Q580" s="31"/>
      <c r="R580" s="31"/>
      <c r="T580" s="31"/>
    </row>
    <row r="581" spans="16:20" ht="12.75" x14ac:dyDescent="0.2">
      <c r="P581" s="31"/>
      <c r="Q581" s="31"/>
      <c r="R581" s="31"/>
      <c r="T581" s="31"/>
    </row>
    <row r="582" spans="16:20" ht="12.75" x14ac:dyDescent="0.2">
      <c r="P582" s="31"/>
      <c r="Q582" s="31"/>
      <c r="R582" s="31"/>
      <c r="T582" s="31"/>
    </row>
    <row r="583" spans="16:20" ht="12.75" x14ac:dyDescent="0.2">
      <c r="P583" s="31"/>
      <c r="Q583" s="31"/>
      <c r="R583" s="31"/>
      <c r="T583" s="31"/>
    </row>
    <row r="584" spans="16:20" ht="12.75" x14ac:dyDescent="0.2">
      <c r="P584" s="31"/>
      <c r="Q584" s="31"/>
      <c r="R584" s="31"/>
      <c r="T584" s="31"/>
    </row>
    <row r="585" spans="16:20" ht="12.75" x14ac:dyDescent="0.2">
      <c r="P585" s="31"/>
      <c r="Q585" s="31"/>
      <c r="R585" s="31"/>
      <c r="T585" s="31"/>
    </row>
    <row r="586" spans="16:20" ht="12.75" x14ac:dyDescent="0.2">
      <c r="P586" s="31"/>
      <c r="Q586" s="31"/>
      <c r="R586" s="31"/>
      <c r="T586" s="31"/>
    </row>
    <row r="587" spans="16:20" ht="12.75" x14ac:dyDescent="0.2">
      <c r="P587" s="31"/>
      <c r="Q587" s="31"/>
      <c r="R587" s="31"/>
      <c r="T587" s="31"/>
    </row>
    <row r="588" spans="16:20" ht="12.75" x14ac:dyDescent="0.2">
      <c r="P588" s="31"/>
      <c r="Q588" s="31"/>
      <c r="R588" s="31"/>
      <c r="T588" s="31"/>
    </row>
    <row r="589" spans="16:20" ht="12.75" x14ac:dyDescent="0.2">
      <c r="P589" s="31"/>
      <c r="Q589" s="31"/>
      <c r="R589" s="31"/>
      <c r="T589" s="31"/>
    </row>
    <row r="590" spans="16:20" ht="12.75" x14ac:dyDescent="0.2">
      <c r="P590" s="31"/>
      <c r="Q590" s="31"/>
      <c r="R590" s="31"/>
      <c r="T590" s="31"/>
    </row>
    <row r="591" spans="16:20" ht="12.75" x14ac:dyDescent="0.2">
      <c r="P591" s="31"/>
      <c r="Q591" s="31"/>
      <c r="R591" s="31"/>
      <c r="T591" s="31"/>
    </row>
    <row r="592" spans="16:20" ht="12.75" x14ac:dyDescent="0.2">
      <c r="P592" s="31"/>
      <c r="Q592" s="31"/>
      <c r="R592" s="31"/>
      <c r="T592" s="31"/>
    </row>
    <row r="593" spans="16:20" ht="12.75" x14ac:dyDescent="0.2">
      <c r="P593" s="31"/>
      <c r="Q593" s="31"/>
      <c r="R593" s="31"/>
      <c r="T593" s="31"/>
    </row>
    <row r="594" spans="16:20" ht="12.75" x14ac:dyDescent="0.2">
      <c r="P594" s="31"/>
      <c r="Q594" s="31"/>
      <c r="R594" s="31"/>
      <c r="T594" s="31"/>
    </row>
    <row r="595" spans="16:20" ht="12.75" x14ac:dyDescent="0.2">
      <c r="P595" s="31"/>
      <c r="Q595" s="31"/>
      <c r="R595" s="31"/>
      <c r="T595" s="31"/>
    </row>
    <row r="596" spans="16:20" ht="12.75" x14ac:dyDescent="0.2">
      <c r="P596" s="31"/>
      <c r="Q596" s="31"/>
      <c r="R596" s="31"/>
      <c r="T596" s="31"/>
    </row>
    <row r="597" spans="16:20" ht="12.75" x14ac:dyDescent="0.2">
      <c r="P597" s="31"/>
      <c r="Q597" s="31"/>
      <c r="R597" s="31"/>
      <c r="T597" s="31"/>
    </row>
    <row r="598" spans="16:20" ht="12.75" x14ac:dyDescent="0.2">
      <c r="P598" s="31"/>
      <c r="Q598" s="31"/>
      <c r="R598" s="31"/>
      <c r="T598" s="31"/>
    </row>
    <row r="599" spans="16:20" ht="12.75" x14ac:dyDescent="0.2">
      <c r="P599" s="31"/>
      <c r="Q599" s="31"/>
      <c r="R599" s="31"/>
      <c r="T599" s="31"/>
    </row>
    <row r="600" spans="16:20" ht="12.75" x14ac:dyDescent="0.2">
      <c r="P600" s="31"/>
      <c r="Q600" s="31"/>
      <c r="R600" s="31"/>
      <c r="T600" s="31"/>
    </row>
    <row r="601" spans="16:20" ht="12.75" x14ac:dyDescent="0.2">
      <c r="P601" s="31"/>
      <c r="Q601" s="31"/>
      <c r="R601" s="31"/>
      <c r="T601" s="31"/>
    </row>
    <row r="602" spans="16:20" ht="12.75" x14ac:dyDescent="0.2">
      <c r="P602" s="31"/>
      <c r="Q602" s="31"/>
      <c r="R602" s="31"/>
      <c r="T602" s="31"/>
    </row>
    <row r="603" spans="16:20" ht="12.75" x14ac:dyDescent="0.2">
      <c r="P603" s="31"/>
      <c r="Q603" s="31"/>
      <c r="R603" s="31"/>
      <c r="T603" s="31"/>
    </row>
    <row r="604" spans="16:20" ht="12.75" x14ac:dyDescent="0.2">
      <c r="P604" s="31"/>
      <c r="Q604" s="31"/>
      <c r="R604" s="31"/>
      <c r="T604" s="31"/>
    </row>
    <row r="605" spans="16:20" ht="12.75" x14ac:dyDescent="0.2">
      <c r="P605" s="31"/>
      <c r="Q605" s="31"/>
      <c r="R605" s="31"/>
      <c r="T605" s="31"/>
    </row>
    <row r="606" spans="16:20" ht="12.75" x14ac:dyDescent="0.2">
      <c r="P606" s="31"/>
      <c r="Q606" s="31"/>
      <c r="R606" s="31"/>
      <c r="T606" s="31"/>
    </row>
    <row r="607" spans="16:20" ht="12.75" x14ac:dyDescent="0.2">
      <c r="P607" s="31"/>
      <c r="Q607" s="31"/>
      <c r="R607" s="31"/>
      <c r="T607" s="31"/>
    </row>
    <row r="608" spans="16:20" ht="12.75" x14ac:dyDescent="0.2">
      <c r="P608" s="31"/>
      <c r="Q608" s="31"/>
      <c r="R608" s="31"/>
      <c r="T608" s="31"/>
    </row>
    <row r="609" spans="16:20" ht="12.75" x14ac:dyDescent="0.2">
      <c r="P609" s="31"/>
      <c r="Q609" s="31"/>
      <c r="R609" s="31"/>
      <c r="T609" s="31"/>
    </row>
    <row r="610" spans="16:20" ht="12.75" x14ac:dyDescent="0.2">
      <c r="P610" s="31"/>
      <c r="Q610" s="31"/>
      <c r="R610" s="31"/>
      <c r="T610" s="31"/>
    </row>
    <row r="611" spans="16:20" ht="12.75" x14ac:dyDescent="0.2">
      <c r="P611" s="31"/>
      <c r="Q611" s="31"/>
      <c r="R611" s="31"/>
      <c r="T611" s="31"/>
    </row>
    <row r="612" spans="16:20" ht="12.75" x14ac:dyDescent="0.2">
      <c r="P612" s="31"/>
      <c r="Q612" s="31"/>
      <c r="R612" s="31"/>
      <c r="T612" s="31"/>
    </row>
    <row r="613" spans="16:20" ht="12.75" x14ac:dyDescent="0.2">
      <c r="P613" s="31"/>
      <c r="Q613" s="31"/>
      <c r="R613" s="31"/>
      <c r="T613" s="31"/>
    </row>
    <row r="614" spans="16:20" ht="12.75" x14ac:dyDescent="0.2">
      <c r="P614" s="31"/>
      <c r="Q614" s="31"/>
      <c r="R614" s="31"/>
      <c r="T614" s="31"/>
    </row>
    <row r="615" spans="16:20" ht="12.75" x14ac:dyDescent="0.2">
      <c r="P615" s="31"/>
      <c r="Q615" s="31"/>
      <c r="R615" s="31"/>
      <c r="T615" s="31"/>
    </row>
    <row r="616" spans="16:20" ht="12.75" x14ac:dyDescent="0.2">
      <c r="P616" s="31"/>
      <c r="Q616" s="31"/>
      <c r="R616" s="31"/>
      <c r="T616" s="31"/>
    </row>
    <row r="617" spans="16:20" ht="12.75" x14ac:dyDescent="0.2">
      <c r="P617" s="31"/>
      <c r="Q617" s="31"/>
      <c r="R617" s="31"/>
      <c r="T617" s="31"/>
    </row>
    <row r="618" spans="16:20" ht="12.75" x14ac:dyDescent="0.2">
      <c r="P618" s="31"/>
      <c r="Q618" s="31"/>
      <c r="R618" s="31"/>
      <c r="T618" s="31"/>
    </row>
    <row r="619" spans="16:20" ht="12.75" x14ac:dyDescent="0.2">
      <c r="P619" s="31"/>
      <c r="Q619" s="31"/>
      <c r="R619" s="31"/>
      <c r="T619" s="31"/>
    </row>
    <row r="620" spans="16:20" ht="12.75" x14ac:dyDescent="0.2">
      <c r="P620" s="31"/>
      <c r="Q620" s="31"/>
      <c r="R620" s="31"/>
      <c r="T620" s="31"/>
    </row>
    <row r="621" spans="16:20" ht="12.75" x14ac:dyDescent="0.2">
      <c r="P621" s="31"/>
      <c r="Q621" s="31"/>
      <c r="R621" s="31"/>
      <c r="T621" s="31"/>
    </row>
    <row r="622" spans="16:20" ht="12.75" x14ac:dyDescent="0.2">
      <c r="P622" s="31"/>
      <c r="Q622" s="31"/>
      <c r="R622" s="31"/>
      <c r="T622" s="31"/>
    </row>
    <row r="623" spans="16:20" ht="12.75" x14ac:dyDescent="0.2">
      <c r="P623" s="31"/>
      <c r="Q623" s="31"/>
      <c r="R623" s="31"/>
      <c r="T623" s="31"/>
    </row>
    <row r="624" spans="16:20" ht="12.75" x14ac:dyDescent="0.2">
      <c r="P624" s="31"/>
      <c r="Q624" s="31"/>
      <c r="R624" s="31"/>
      <c r="T624" s="31"/>
    </row>
    <row r="625" spans="16:20" ht="12.75" x14ac:dyDescent="0.2">
      <c r="P625" s="31"/>
      <c r="Q625" s="31"/>
      <c r="R625" s="31"/>
      <c r="T625" s="31"/>
    </row>
    <row r="626" spans="16:20" ht="12.75" x14ac:dyDescent="0.2">
      <c r="P626" s="31"/>
      <c r="Q626" s="31"/>
      <c r="R626" s="31"/>
      <c r="T626" s="31"/>
    </row>
    <row r="627" spans="16:20" ht="12.75" x14ac:dyDescent="0.2">
      <c r="P627" s="31"/>
      <c r="Q627" s="31"/>
      <c r="R627" s="31"/>
      <c r="T627" s="31"/>
    </row>
    <row r="628" spans="16:20" ht="12.75" x14ac:dyDescent="0.2">
      <c r="P628" s="31"/>
      <c r="Q628" s="31"/>
      <c r="R628" s="31"/>
      <c r="T628" s="31"/>
    </row>
    <row r="629" spans="16:20" ht="12.75" x14ac:dyDescent="0.2">
      <c r="P629" s="31"/>
      <c r="Q629" s="31"/>
      <c r="R629" s="31"/>
      <c r="T629" s="31"/>
    </row>
    <row r="630" spans="16:20" ht="12.75" x14ac:dyDescent="0.2">
      <c r="P630" s="31"/>
      <c r="Q630" s="31"/>
      <c r="R630" s="31"/>
      <c r="T630" s="31"/>
    </row>
    <row r="631" spans="16:20" ht="12.75" x14ac:dyDescent="0.2">
      <c r="P631" s="31"/>
      <c r="Q631" s="31"/>
      <c r="R631" s="31"/>
      <c r="T631" s="31"/>
    </row>
    <row r="632" spans="16:20" ht="12.75" x14ac:dyDescent="0.2">
      <c r="P632" s="31"/>
      <c r="Q632" s="31"/>
      <c r="R632" s="31"/>
      <c r="T632" s="31"/>
    </row>
    <row r="633" spans="16:20" ht="12.75" x14ac:dyDescent="0.2">
      <c r="P633" s="31"/>
      <c r="Q633" s="31"/>
      <c r="R633" s="31"/>
      <c r="T633" s="31"/>
    </row>
    <row r="634" spans="16:20" ht="12.75" x14ac:dyDescent="0.2">
      <c r="P634" s="31"/>
      <c r="Q634" s="31"/>
      <c r="R634" s="31"/>
      <c r="T634" s="31"/>
    </row>
    <row r="635" spans="16:20" ht="12.75" x14ac:dyDescent="0.2">
      <c r="P635" s="31"/>
      <c r="Q635" s="31"/>
      <c r="R635" s="31"/>
      <c r="T635" s="31"/>
    </row>
    <row r="636" spans="16:20" ht="12.75" x14ac:dyDescent="0.2">
      <c r="P636" s="31"/>
      <c r="Q636" s="31"/>
      <c r="R636" s="31"/>
      <c r="T636" s="31"/>
    </row>
    <row r="637" spans="16:20" ht="12.75" x14ac:dyDescent="0.2">
      <c r="P637" s="31"/>
      <c r="Q637" s="31"/>
      <c r="R637" s="31"/>
      <c r="T637" s="31"/>
    </row>
    <row r="638" spans="16:20" ht="12.75" x14ac:dyDescent="0.2">
      <c r="P638" s="31"/>
      <c r="Q638" s="31"/>
      <c r="R638" s="31"/>
      <c r="T638" s="31"/>
    </row>
    <row r="639" spans="16:20" ht="12.75" x14ac:dyDescent="0.2">
      <c r="P639" s="31"/>
      <c r="Q639" s="31"/>
      <c r="R639" s="31"/>
      <c r="T639" s="31"/>
    </row>
    <row r="640" spans="16:20" ht="12.75" x14ac:dyDescent="0.2">
      <c r="P640" s="31"/>
      <c r="Q640" s="31"/>
      <c r="R640" s="31"/>
      <c r="T640" s="31"/>
    </row>
    <row r="641" spans="16:20" ht="12.75" x14ac:dyDescent="0.2">
      <c r="P641" s="31"/>
      <c r="Q641" s="31"/>
      <c r="R641" s="31"/>
      <c r="T641" s="31"/>
    </row>
    <row r="642" spans="16:20" ht="12.75" x14ac:dyDescent="0.2">
      <c r="P642" s="31"/>
      <c r="Q642" s="31"/>
      <c r="R642" s="31"/>
      <c r="T642" s="31"/>
    </row>
    <row r="643" spans="16:20" ht="12.75" x14ac:dyDescent="0.2">
      <c r="P643" s="31"/>
      <c r="Q643" s="31"/>
      <c r="R643" s="31"/>
      <c r="T643" s="31"/>
    </row>
    <row r="644" spans="16:20" ht="12.75" x14ac:dyDescent="0.2">
      <c r="P644" s="31"/>
      <c r="Q644" s="31"/>
      <c r="R644" s="31"/>
      <c r="T644" s="31"/>
    </row>
    <row r="645" spans="16:20" ht="12.75" x14ac:dyDescent="0.2">
      <c r="P645" s="31"/>
      <c r="Q645" s="31"/>
      <c r="R645" s="31"/>
      <c r="T645" s="31"/>
    </row>
    <row r="646" spans="16:20" ht="12.75" x14ac:dyDescent="0.2">
      <c r="P646" s="31"/>
      <c r="Q646" s="31"/>
      <c r="R646" s="31"/>
      <c r="T646" s="31"/>
    </row>
    <row r="647" spans="16:20" ht="12.75" x14ac:dyDescent="0.2">
      <c r="P647" s="31"/>
      <c r="Q647" s="31"/>
      <c r="R647" s="31"/>
      <c r="T647" s="31"/>
    </row>
    <row r="648" spans="16:20" ht="12.75" x14ac:dyDescent="0.2">
      <c r="P648" s="31"/>
      <c r="Q648" s="31"/>
      <c r="R648" s="31"/>
      <c r="T648" s="31"/>
    </row>
    <row r="649" spans="16:20" ht="12.75" x14ac:dyDescent="0.2">
      <c r="P649" s="31"/>
      <c r="Q649" s="31"/>
      <c r="R649" s="31"/>
      <c r="T649" s="31"/>
    </row>
    <row r="650" spans="16:20" ht="12.75" x14ac:dyDescent="0.2">
      <c r="P650" s="31"/>
      <c r="Q650" s="31"/>
      <c r="R650" s="31"/>
      <c r="T650" s="31"/>
    </row>
    <row r="651" spans="16:20" ht="12.75" x14ac:dyDescent="0.2">
      <c r="P651" s="31"/>
      <c r="Q651" s="31"/>
      <c r="R651" s="31"/>
      <c r="T651" s="31"/>
    </row>
    <row r="652" spans="16:20" ht="12.75" x14ac:dyDescent="0.2">
      <c r="P652" s="31"/>
      <c r="Q652" s="31"/>
      <c r="R652" s="31"/>
      <c r="T652" s="31"/>
    </row>
    <row r="653" spans="16:20" ht="12.75" x14ac:dyDescent="0.2">
      <c r="P653" s="31"/>
      <c r="Q653" s="31"/>
      <c r="R653" s="31"/>
      <c r="T653" s="31"/>
    </row>
    <row r="654" spans="16:20" ht="12.75" x14ac:dyDescent="0.2">
      <c r="P654" s="31"/>
      <c r="Q654" s="31"/>
      <c r="R654" s="31"/>
      <c r="T654" s="31"/>
    </row>
    <row r="655" spans="16:20" ht="12.75" x14ac:dyDescent="0.2">
      <c r="P655" s="31"/>
      <c r="Q655" s="31"/>
      <c r="R655" s="31"/>
      <c r="T655" s="31"/>
    </row>
    <row r="656" spans="16:20" ht="12.75" x14ac:dyDescent="0.2">
      <c r="P656" s="31"/>
      <c r="Q656" s="31"/>
      <c r="R656" s="31"/>
      <c r="T656" s="31"/>
    </row>
    <row r="657" spans="16:20" ht="12.75" x14ac:dyDescent="0.2">
      <c r="P657" s="31"/>
      <c r="Q657" s="31"/>
      <c r="R657" s="31"/>
      <c r="T657" s="31"/>
    </row>
    <row r="658" spans="16:20" ht="12.75" x14ac:dyDescent="0.2">
      <c r="P658" s="31"/>
      <c r="Q658" s="31"/>
      <c r="R658" s="31"/>
      <c r="T658" s="31"/>
    </row>
    <row r="659" spans="16:20" ht="12.75" x14ac:dyDescent="0.2">
      <c r="P659" s="31"/>
      <c r="Q659" s="31"/>
      <c r="R659" s="31"/>
      <c r="T659" s="31"/>
    </row>
    <row r="660" spans="16:20" ht="12.75" x14ac:dyDescent="0.2">
      <c r="P660" s="31"/>
      <c r="Q660" s="31"/>
      <c r="R660" s="31"/>
      <c r="T660" s="31"/>
    </row>
    <row r="661" spans="16:20" ht="12.75" x14ac:dyDescent="0.2">
      <c r="P661" s="31"/>
      <c r="Q661" s="31"/>
      <c r="R661" s="31"/>
      <c r="T661" s="31"/>
    </row>
    <row r="662" spans="16:20" ht="12.75" x14ac:dyDescent="0.2">
      <c r="P662" s="31"/>
      <c r="Q662" s="31"/>
      <c r="R662" s="31"/>
      <c r="T662" s="31"/>
    </row>
    <row r="663" spans="16:20" ht="12.75" x14ac:dyDescent="0.2">
      <c r="P663" s="31"/>
      <c r="Q663" s="31"/>
      <c r="R663" s="31"/>
      <c r="T663" s="31"/>
    </row>
    <row r="664" spans="16:20" ht="12.75" x14ac:dyDescent="0.2">
      <c r="P664" s="31"/>
      <c r="Q664" s="31"/>
      <c r="R664" s="31"/>
      <c r="T664" s="31"/>
    </row>
    <row r="665" spans="16:20" ht="12.75" x14ac:dyDescent="0.2">
      <c r="P665" s="31"/>
      <c r="Q665" s="31"/>
      <c r="R665" s="31"/>
      <c r="T665" s="31"/>
    </row>
    <row r="666" spans="16:20" ht="12.75" x14ac:dyDescent="0.2">
      <c r="P666" s="31"/>
      <c r="Q666" s="31"/>
      <c r="R666" s="31"/>
      <c r="T666" s="31"/>
    </row>
    <row r="667" spans="16:20" ht="12.75" x14ac:dyDescent="0.2">
      <c r="P667" s="31"/>
      <c r="Q667" s="31"/>
      <c r="R667" s="31"/>
      <c r="T667" s="31"/>
    </row>
    <row r="668" spans="16:20" ht="12.75" x14ac:dyDescent="0.2">
      <c r="P668" s="31"/>
      <c r="Q668" s="31"/>
      <c r="R668" s="31"/>
      <c r="T668" s="31"/>
    </row>
    <row r="669" spans="16:20" ht="12.75" x14ac:dyDescent="0.2">
      <c r="P669" s="31"/>
      <c r="Q669" s="31"/>
      <c r="R669" s="31"/>
      <c r="T669" s="31"/>
    </row>
    <row r="670" spans="16:20" ht="12.75" x14ac:dyDescent="0.2">
      <c r="P670" s="31"/>
      <c r="Q670" s="31"/>
      <c r="R670" s="31"/>
      <c r="T670" s="31"/>
    </row>
    <row r="671" spans="16:20" ht="12.75" x14ac:dyDescent="0.2">
      <c r="P671" s="31"/>
      <c r="Q671" s="31"/>
      <c r="R671" s="31"/>
      <c r="T671" s="31"/>
    </row>
    <row r="672" spans="16:20" ht="12.75" x14ac:dyDescent="0.2">
      <c r="P672" s="31"/>
      <c r="Q672" s="31"/>
      <c r="R672" s="31"/>
      <c r="T672" s="31"/>
    </row>
    <row r="673" spans="16:20" ht="12.75" x14ac:dyDescent="0.2">
      <c r="P673" s="31"/>
      <c r="Q673" s="31"/>
      <c r="R673" s="31"/>
      <c r="T673" s="31"/>
    </row>
    <row r="674" spans="16:20" ht="12.75" x14ac:dyDescent="0.2">
      <c r="P674" s="31"/>
      <c r="Q674" s="31"/>
      <c r="R674" s="31"/>
      <c r="T674" s="31"/>
    </row>
    <row r="675" spans="16:20" ht="12.75" x14ac:dyDescent="0.2">
      <c r="P675" s="31"/>
      <c r="Q675" s="31"/>
      <c r="R675" s="31"/>
      <c r="T675" s="31"/>
    </row>
    <row r="676" spans="16:20" ht="12.75" x14ac:dyDescent="0.2">
      <c r="P676" s="31"/>
      <c r="Q676" s="31"/>
      <c r="R676" s="31"/>
      <c r="T676" s="31"/>
    </row>
    <row r="677" spans="16:20" ht="12.75" x14ac:dyDescent="0.2">
      <c r="P677" s="31"/>
      <c r="Q677" s="31"/>
      <c r="R677" s="31"/>
      <c r="T677" s="31"/>
    </row>
    <row r="678" spans="16:20" ht="12.75" x14ac:dyDescent="0.2">
      <c r="P678" s="31"/>
      <c r="Q678" s="31"/>
      <c r="R678" s="31"/>
      <c r="T678" s="31"/>
    </row>
    <row r="679" spans="16:20" ht="12.75" x14ac:dyDescent="0.2">
      <c r="P679" s="31"/>
      <c r="Q679" s="31"/>
      <c r="R679" s="31"/>
      <c r="T679" s="31"/>
    </row>
    <row r="680" spans="16:20" ht="12.75" x14ac:dyDescent="0.2">
      <c r="P680" s="31"/>
      <c r="Q680" s="31"/>
      <c r="R680" s="31"/>
      <c r="T680" s="31"/>
    </row>
    <row r="681" spans="16:20" ht="12.75" x14ac:dyDescent="0.2">
      <c r="P681" s="31"/>
      <c r="Q681" s="31"/>
      <c r="R681" s="31"/>
      <c r="T681" s="31"/>
    </row>
    <row r="682" spans="16:20" ht="12.75" x14ac:dyDescent="0.2">
      <c r="P682" s="31"/>
      <c r="Q682" s="31"/>
      <c r="R682" s="31"/>
      <c r="T682" s="31"/>
    </row>
    <row r="683" spans="16:20" ht="12.75" x14ac:dyDescent="0.2">
      <c r="P683" s="31"/>
      <c r="Q683" s="31"/>
      <c r="R683" s="31"/>
      <c r="T683" s="31"/>
    </row>
    <row r="684" spans="16:20" ht="12.75" x14ac:dyDescent="0.2">
      <c r="P684" s="31"/>
      <c r="Q684" s="31"/>
      <c r="R684" s="31"/>
      <c r="T684" s="31"/>
    </row>
    <row r="685" spans="16:20" ht="12.75" x14ac:dyDescent="0.2">
      <c r="P685" s="31"/>
      <c r="Q685" s="31"/>
      <c r="R685" s="31"/>
      <c r="T685" s="31"/>
    </row>
    <row r="686" spans="16:20" ht="12.75" x14ac:dyDescent="0.2">
      <c r="P686" s="31"/>
      <c r="Q686" s="31"/>
      <c r="R686" s="31"/>
      <c r="T686" s="31"/>
    </row>
    <row r="687" spans="16:20" ht="12.75" x14ac:dyDescent="0.2">
      <c r="P687" s="31"/>
      <c r="Q687" s="31"/>
      <c r="R687" s="31"/>
      <c r="T687" s="31"/>
    </row>
    <row r="688" spans="16:20" ht="12.75" x14ac:dyDescent="0.2">
      <c r="P688" s="31"/>
      <c r="Q688" s="31"/>
      <c r="R688" s="31"/>
      <c r="T688" s="31"/>
    </row>
    <row r="689" spans="16:20" ht="12.75" x14ac:dyDescent="0.2">
      <c r="P689" s="31"/>
      <c r="Q689" s="31"/>
      <c r="R689" s="31"/>
      <c r="T689" s="31"/>
    </row>
    <row r="690" spans="16:20" ht="12.75" x14ac:dyDescent="0.2">
      <c r="P690" s="31"/>
      <c r="Q690" s="31"/>
      <c r="R690" s="31"/>
      <c r="T690" s="31"/>
    </row>
    <row r="691" spans="16:20" ht="12.75" x14ac:dyDescent="0.2">
      <c r="P691" s="31"/>
      <c r="Q691" s="31"/>
      <c r="R691" s="31"/>
      <c r="T691" s="31"/>
    </row>
    <row r="692" spans="16:20" ht="12.75" x14ac:dyDescent="0.2">
      <c r="P692" s="31"/>
      <c r="Q692" s="31"/>
      <c r="R692" s="31"/>
      <c r="T692" s="31"/>
    </row>
    <row r="693" spans="16:20" ht="12.75" x14ac:dyDescent="0.2">
      <c r="P693" s="31"/>
      <c r="Q693" s="31"/>
      <c r="R693" s="31"/>
      <c r="T693" s="31"/>
    </row>
    <row r="694" spans="16:20" ht="12.75" x14ac:dyDescent="0.2">
      <c r="P694" s="31"/>
      <c r="Q694" s="31"/>
      <c r="R694" s="31"/>
      <c r="T694" s="31"/>
    </row>
    <row r="695" spans="16:20" ht="12.75" x14ac:dyDescent="0.2">
      <c r="P695" s="31"/>
      <c r="Q695" s="31"/>
      <c r="R695" s="31"/>
      <c r="T695" s="31"/>
    </row>
    <row r="696" spans="16:20" ht="12.75" x14ac:dyDescent="0.2">
      <c r="P696" s="31"/>
      <c r="Q696" s="31"/>
      <c r="R696" s="31"/>
      <c r="T696" s="31"/>
    </row>
    <row r="697" spans="16:20" ht="12.75" x14ac:dyDescent="0.2">
      <c r="P697" s="31"/>
      <c r="Q697" s="31"/>
      <c r="R697" s="31"/>
      <c r="T697" s="31"/>
    </row>
    <row r="698" spans="16:20" ht="12.75" x14ac:dyDescent="0.2">
      <c r="P698" s="31"/>
      <c r="Q698" s="31"/>
      <c r="R698" s="31"/>
      <c r="T698" s="31"/>
    </row>
    <row r="699" spans="16:20" ht="12.75" x14ac:dyDescent="0.2">
      <c r="P699" s="31"/>
      <c r="Q699" s="31"/>
      <c r="R699" s="31"/>
      <c r="T699" s="31"/>
    </row>
    <row r="700" spans="16:20" ht="12.75" x14ac:dyDescent="0.2">
      <c r="P700" s="31"/>
      <c r="Q700" s="31"/>
      <c r="R700" s="31"/>
      <c r="T700" s="31"/>
    </row>
    <row r="701" spans="16:20" ht="12.75" x14ac:dyDescent="0.2">
      <c r="P701" s="31"/>
      <c r="Q701" s="31"/>
      <c r="R701" s="31"/>
      <c r="T701" s="31"/>
    </row>
    <row r="702" spans="16:20" ht="12.75" x14ac:dyDescent="0.2">
      <c r="P702" s="31"/>
      <c r="Q702" s="31"/>
      <c r="R702" s="31"/>
      <c r="T702" s="31"/>
    </row>
    <row r="703" spans="16:20" ht="12.75" x14ac:dyDescent="0.2">
      <c r="P703" s="31"/>
      <c r="Q703" s="31"/>
      <c r="R703" s="31"/>
      <c r="T703" s="31"/>
    </row>
    <row r="704" spans="16:20" ht="12.75" x14ac:dyDescent="0.2">
      <c r="P704" s="31"/>
      <c r="Q704" s="31"/>
      <c r="R704" s="31"/>
      <c r="T704" s="31"/>
    </row>
    <row r="705" spans="16:20" ht="12.75" x14ac:dyDescent="0.2">
      <c r="P705" s="31"/>
      <c r="Q705" s="31"/>
      <c r="R705" s="31"/>
      <c r="T705" s="31"/>
    </row>
    <row r="706" spans="16:20" ht="12.75" x14ac:dyDescent="0.2">
      <c r="P706" s="31"/>
      <c r="Q706" s="31"/>
      <c r="R706" s="31"/>
      <c r="T706" s="31"/>
    </row>
    <row r="707" spans="16:20" ht="12.75" x14ac:dyDescent="0.2">
      <c r="P707" s="31"/>
      <c r="Q707" s="31"/>
      <c r="R707" s="31"/>
      <c r="T707" s="31"/>
    </row>
    <row r="708" spans="16:20" ht="12.75" x14ac:dyDescent="0.2">
      <c r="P708" s="31"/>
      <c r="Q708" s="31"/>
      <c r="R708" s="31"/>
      <c r="T708" s="31"/>
    </row>
    <row r="709" spans="16:20" ht="12.75" x14ac:dyDescent="0.2">
      <c r="P709" s="31"/>
      <c r="Q709" s="31"/>
      <c r="R709" s="31"/>
      <c r="T709" s="31"/>
    </row>
    <row r="710" spans="16:20" ht="12.75" x14ac:dyDescent="0.2">
      <c r="P710" s="31"/>
      <c r="Q710" s="31"/>
      <c r="R710" s="31"/>
      <c r="T710" s="31"/>
    </row>
    <row r="711" spans="16:20" ht="12.75" x14ac:dyDescent="0.2">
      <c r="P711" s="31"/>
      <c r="Q711" s="31"/>
      <c r="R711" s="31"/>
      <c r="T711" s="31"/>
    </row>
    <row r="712" spans="16:20" ht="12.75" x14ac:dyDescent="0.2">
      <c r="P712" s="31"/>
      <c r="Q712" s="31"/>
      <c r="R712" s="31"/>
      <c r="T712" s="31"/>
    </row>
    <row r="713" spans="16:20" ht="12.75" x14ac:dyDescent="0.2">
      <c r="P713" s="31"/>
      <c r="Q713" s="31"/>
      <c r="R713" s="31"/>
      <c r="T713" s="31"/>
    </row>
    <row r="714" spans="16:20" ht="12.75" x14ac:dyDescent="0.2">
      <c r="P714" s="31"/>
      <c r="Q714" s="31"/>
      <c r="R714" s="31"/>
      <c r="T714" s="31"/>
    </row>
    <row r="715" spans="16:20" ht="12.75" x14ac:dyDescent="0.2">
      <c r="P715" s="31"/>
      <c r="Q715" s="31"/>
      <c r="R715" s="31"/>
      <c r="T715" s="31"/>
    </row>
    <row r="716" spans="16:20" ht="12.75" x14ac:dyDescent="0.2">
      <c r="P716" s="31"/>
      <c r="Q716" s="31"/>
      <c r="R716" s="31"/>
      <c r="T716" s="31"/>
    </row>
    <row r="717" spans="16:20" ht="12.75" x14ac:dyDescent="0.2">
      <c r="P717" s="31"/>
      <c r="Q717" s="31"/>
      <c r="R717" s="31"/>
      <c r="T717" s="31"/>
    </row>
    <row r="718" spans="16:20" ht="12.75" x14ac:dyDescent="0.2">
      <c r="P718" s="31"/>
      <c r="Q718" s="31"/>
      <c r="R718" s="31"/>
      <c r="T718" s="31"/>
    </row>
    <row r="719" spans="16:20" ht="12.75" x14ac:dyDescent="0.2">
      <c r="P719" s="31"/>
      <c r="Q719" s="31"/>
      <c r="R719" s="31"/>
      <c r="T719" s="31"/>
    </row>
    <row r="720" spans="16:20" ht="12.75" x14ac:dyDescent="0.2">
      <c r="P720" s="31"/>
      <c r="Q720" s="31"/>
      <c r="R720" s="31"/>
      <c r="T720" s="31"/>
    </row>
    <row r="721" spans="16:20" ht="12.75" x14ac:dyDescent="0.2">
      <c r="P721" s="31"/>
      <c r="Q721" s="31"/>
      <c r="R721" s="31"/>
      <c r="T721" s="31"/>
    </row>
    <row r="722" spans="16:20" ht="12.75" x14ac:dyDescent="0.2">
      <c r="P722" s="31"/>
      <c r="Q722" s="31"/>
      <c r="R722" s="31"/>
      <c r="T722" s="31"/>
    </row>
    <row r="723" spans="16:20" ht="12.75" x14ac:dyDescent="0.2">
      <c r="P723" s="31"/>
      <c r="Q723" s="31"/>
      <c r="R723" s="31"/>
      <c r="T723" s="31"/>
    </row>
    <row r="724" spans="16:20" ht="12.75" x14ac:dyDescent="0.2">
      <c r="P724" s="31"/>
      <c r="Q724" s="31"/>
      <c r="R724" s="31"/>
      <c r="T724" s="31"/>
    </row>
    <row r="725" spans="16:20" ht="12.75" x14ac:dyDescent="0.2">
      <c r="P725" s="31"/>
      <c r="Q725" s="31"/>
      <c r="R725" s="31"/>
      <c r="T725" s="31"/>
    </row>
    <row r="726" spans="16:20" ht="12.75" x14ac:dyDescent="0.2">
      <c r="P726" s="31"/>
      <c r="Q726" s="31"/>
      <c r="R726" s="31"/>
      <c r="T726" s="31"/>
    </row>
    <row r="727" spans="16:20" ht="12.75" x14ac:dyDescent="0.2">
      <c r="P727" s="31"/>
      <c r="Q727" s="31"/>
      <c r="R727" s="31"/>
      <c r="T727" s="31"/>
    </row>
    <row r="728" spans="16:20" ht="12.75" x14ac:dyDescent="0.2">
      <c r="P728" s="31"/>
      <c r="Q728" s="31"/>
      <c r="R728" s="31"/>
      <c r="T728" s="31"/>
    </row>
    <row r="729" spans="16:20" ht="12.75" x14ac:dyDescent="0.2">
      <c r="P729" s="31"/>
      <c r="Q729" s="31"/>
      <c r="R729" s="31"/>
      <c r="T729" s="31"/>
    </row>
    <row r="730" spans="16:20" ht="12.75" x14ac:dyDescent="0.2">
      <c r="P730" s="31"/>
      <c r="Q730" s="31"/>
      <c r="R730" s="31"/>
      <c r="T730" s="31"/>
    </row>
    <row r="731" spans="16:20" ht="12.75" x14ac:dyDescent="0.2">
      <c r="P731" s="31"/>
      <c r="Q731" s="31"/>
      <c r="R731" s="31"/>
      <c r="T731" s="31"/>
    </row>
    <row r="732" spans="16:20" ht="12.75" x14ac:dyDescent="0.2">
      <c r="P732" s="31"/>
      <c r="Q732" s="31"/>
      <c r="R732" s="31"/>
      <c r="T732" s="31"/>
    </row>
    <row r="733" spans="16:20" ht="12.75" x14ac:dyDescent="0.2">
      <c r="P733" s="31"/>
      <c r="Q733" s="31"/>
      <c r="R733" s="31"/>
      <c r="T733" s="31"/>
    </row>
    <row r="734" spans="16:20" ht="12.75" x14ac:dyDescent="0.2">
      <c r="P734" s="31"/>
      <c r="Q734" s="31"/>
      <c r="R734" s="31"/>
      <c r="T734" s="31"/>
    </row>
    <row r="735" spans="16:20" ht="12.75" x14ac:dyDescent="0.2">
      <c r="P735" s="31"/>
      <c r="Q735" s="31"/>
      <c r="R735" s="31"/>
      <c r="T735" s="31"/>
    </row>
    <row r="736" spans="16:20" ht="12.75" x14ac:dyDescent="0.2">
      <c r="P736" s="31"/>
      <c r="Q736" s="31"/>
      <c r="R736" s="31"/>
      <c r="T736" s="31"/>
    </row>
    <row r="737" spans="16:20" ht="12.75" x14ac:dyDescent="0.2">
      <c r="P737" s="31"/>
      <c r="Q737" s="31"/>
      <c r="R737" s="31"/>
      <c r="T737" s="31"/>
    </row>
    <row r="738" spans="16:20" ht="12.75" x14ac:dyDescent="0.2">
      <c r="P738" s="31"/>
      <c r="Q738" s="31"/>
      <c r="R738" s="31"/>
      <c r="T738" s="31"/>
    </row>
    <row r="739" spans="16:20" ht="12.75" x14ac:dyDescent="0.2">
      <c r="P739" s="31"/>
      <c r="Q739" s="31"/>
      <c r="R739" s="31"/>
      <c r="T739" s="31"/>
    </row>
    <row r="740" spans="16:20" ht="12.75" x14ac:dyDescent="0.2">
      <c r="P740" s="31"/>
      <c r="Q740" s="31"/>
      <c r="R740" s="31"/>
      <c r="T740" s="31"/>
    </row>
    <row r="741" spans="16:20" ht="12.75" x14ac:dyDescent="0.2">
      <c r="P741" s="31"/>
      <c r="Q741" s="31"/>
      <c r="R741" s="31"/>
      <c r="T741" s="31"/>
    </row>
    <row r="742" spans="16:20" ht="12.75" x14ac:dyDescent="0.2">
      <c r="P742" s="31"/>
      <c r="Q742" s="31"/>
      <c r="R742" s="31"/>
      <c r="T742" s="31"/>
    </row>
    <row r="743" spans="16:20" ht="12.75" x14ac:dyDescent="0.2">
      <c r="P743" s="31"/>
      <c r="Q743" s="31"/>
      <c r="R743" s="31"/>
      <c r="T743" s="31"/>
    </row>
    <row r="744" spans="16:20" ht="12.75" x14ac:dyDescent="0.2">
      <c r="P744" s="31"/>
      <c r="Q744" s="31"/>
      <c r="R744" s="31"/>
      <c r="T744" s="31"/>
    </row>
    <row r="745" spans="16:20" ht="12.75" x14ac:dyDescent="0.2">
      <c r="P745" s="31"/>
      <c r="Q745" s="31"/>
      <c r="R745" s="31"/>
      <c r="T745" s="31"/>
    </row>
    <row r="746" spans="16:20" ht="12.75" x14ac:dyDescent="0.2">
      <c r="P746" s="31"/>
      <c r="Q746" s="31"/>
      <c r="R746" s="31"/>
      <c r="T746" s="31"/>
    </row>
    <row r="747" spans="16:20" ht="12.75" x14ac:dyDescent="0.2">
      <c r="P747" s="31"/>
      <c r="Q747" s="31"/>
      <c r="R747" s="31"/>
      <c r="T747" s="31"/>
    </row>
    <row r="748" spans="16:20" ht="12.75" x14ac:dyDescent="0.2">
      <c r="P748" s="31"/>
      <c r="Q748" s="31"/>
      <c r="R748" s="31"/>
      <c r="T748" s="31"/>
    </row>
    <row r="749" spans="16:20" ht="12.75" x14ac:dyDescent="0.2">
      <c r="P749" s="31"/>
      <c r="Q749" s="31"/>
      <c r="R749" s="31"/>
      <c r="T749" s="31"/>
    </row>
    <row r="750" spans="16:20" ht="12.75" x14ac:dyDescent="0.2">
      <c r="P750" s="31"/>
      <c r="Q750" s="31"/>
      <c r="R750" s="31"/>
      <c r="T750" s="31"/>
    </row>
    <row r="751" spans="16:20" ht="12.75" x14ac:dyDescent="0.2">
      <c r="P751" s="31"/>
      <c r="Q751" s="31"/>
      <c r="R751" s="31"/>
      <c r="T751" s="31"/>
    </row>
    <row r="752" spans="16:20" ht="12.75" x14ac:dyDescent="0.2">
      <c r="P752" s="31"/>
      <c r="Q752" s="31"/>
      <c r="R752" s="31"/>
      <c r="T752" s="31"/>
    </row>
    <row r="753" spans="16:20" ht="12.75" x14ac:dyDescent="0.2">
      <c r="P753" s="31"/>
      <c r="Q753" s="31"/>
      <c r="R753" s="31"/>
      <c r="T753" s="31"/>
    </row>
    <row r="754" spans="16:20" ht="12.75" x14ac:dyDescent="0.2">
      <c r="P754" s="31"/>
      <c r="Q754" s="31"/>
      <c r="R754" s="31"/>
      <c r="T754" s="31"/>
    </row>
    <row r="755" spans="16:20" ht="12.75" x14ac:dyDescent="0.2">
      <c r="P755" s="31"/>
      <c r="Q755" s="31"/>
      <c r="R755" s="31"/>
      <c r="T755" s="31"/>
    </row>
    <row r="756" spans="16:20" ht="12.75" x14ac:dyDescent="0.2">
      <c r="P756" s="31"/>
      <c r="Q756" s="31"/>
      <c r="R756" s="31"/>
      <c r="T756" s="31"/>
    </row>
    <row r="757" spans="16:20" ht="12.75" x14ac:dyDescent="0.2">
      <c r="P757" s="31"/>
      <c r="Q757" s="31"/>
      <c r="R757" s="31"/>
      <c r="T757" s="31"/>
    </row>
    <row r="758" spans="16:20" ht="12.75" x14ac:dyDescent="0.2">
      <c r="P758" s="31"/>
      <c r="Q758" s="31"/>
      <c r="R758" s="31"/>
      <c r="T758" s="31"/>
    </row>
    <row r="759" spans="16:20" ht="12.75" x14ac:dyDescent="0.2">
      <c r="P759" s="31"/>
      <c r="Q759" s="31"/>
      <c r="R759" s="31"/>
      <c r="T759" s="31"/>
    </row>
    <row r="760" spans="16:20" ht="12.75" x14ac:dyDescent="0.2">
      <c r="P760" s="31"/>
      <c r="Q760" s="31"/>
      <c r="R760" s="31"/>
      <c r="T760" s="31"/>
    </row>
    <row r="761" spans="16:20" ht="12.75" x14ac:dyDescent="0.2">
      <c r="P761" s="31"/>
      <c r="Q761" s="31"/>
      <c r="R761" s="31"/>
      <c r="T761" s="31"/>
    </row>
    <row r="762" spans="16:20" ht="12.75" x14ac:dyDescent="0.2">
      <c r="P762" s="31"/>
      <c r="Q762" s="31"/>
      <c r="R762" s="31"/>
      <c r="T762" s="31"/>
    </row>
    <row r="763" spans="16:20" ht="12.75" x14ac:dyDescent="0.2">
      <c r="P763" s="31"/>
      <c r="Q763" s="31"/>
      <c r="R763" s="31"/>
      <c r="T763" s="31"/>
    </row>
    <row r="764" spans="16:20" ht="12.75" x14ac:dyDescent="0.2">
      <c r="P764" s="31"/>
      <c r="Q764" s="31"/>
      <c r="R764" s="31"/>
      <c r="T764" s="31"/>
    </row>
    <row r="765" spans="16:20" ht="12.75" x14ac:dyDescent="0.2">
      <c r="P765" s="31"/>
      <c r="Q765" s="31"/>
      <c r="R765" s="31"/>
      <c r="T765" s="31"/>
    </row>
    <row r="766" spans="16:20" ht="12.75" x14ac:dyDescent="0.2">
      <c r="P766" s="31"/>
      <c r="Q766" s="31"/>
      <c r="R766" s="31"/>
      <c r="T766" s="31"/>
    </row>
    <row r="767" spans="16:20" ht="12.75" x14ac:dyDescent="0.2">
      <c r="P767" s="31"/>
      <c r="Q767" s="31"/>
      <c r="R767" s="31"/>
      <c r="T767" s="31"/>
    </row>
    <row r="768" spans="16:20" ht="12.75" x14ac:dyDescent="0.2">
      <c r="P768" s="31"/>
      <c r="Q768" s="31"/>
      <c r="R768" s="31"/>
      <c r="T768" s="31"/>
    </row>
    <row r="769" spans="16:20" ht="12.75" x14ac:dyDescent="0.2">
      <c r="P769" s="31"/>
      <c r="Q769" s="31"/>
      <c r="R769" s="31"/>
      <c r="T769" s="31"/>
    </row>
    <row r="770" spans="16:20" ht="12.75" x14ac:dyDescent="0.2">
      <c r="P770" s="31"/>
      <c r="Q770" s="31"/>
      <c r="R770" s="31"/>
      <c r="T770" s="31"/>
    </row>
    <row r="771" spans="16:20" ht="12.75" x14ac:dyDescent="0.2">
      <c r="P771" s="31"/>
      <c r="Q771" s="31"/>
      <c r="R771" s="31"/>
      <c r="T771" s="31"/>
    </row>
    <row r="772" spans="16:20" ht="12.75" x14ac:dyDescent="0.2">
      <c r="P772" s="31"/>
      <c r="Q772" s="31"/>
      <c r="R772" s="31"/>
      <c r="T772" s="31"/>
    </row>
    <row r="773" spans="16:20" ht="12.75" x14ac:dyDescent="0.2">
      <c r="P773" s="31"/>
      <c r="Q773" s="31"/>
      <c r="R773" s="31"/>
      <c r="T773" s="31"/>
    </row>
    <row r="774" spans="16:20" ht="12.75" x14ac:dyDescent="0.2">
      <c r="P774" s="31"/>
      <c r="Q774" s="31"/>
      <c r="R774" s="31"/>
      <c r="T774" s="31"/>
    </row>
    <row r="775" spans="16:20" ht="12.75" x14ac:dyDescent="0.2">
      <c r="P775" s="31"/>
      <c r="Q775" s="31"/>
      <c r="R775" s="31"/>
      <c r="T775" s="31"/>
    </row>
    <row r="776" spans="16:20" ht="12.75" x14ac:dyDescent="0.2">
      <c r="P776" s="31"/>
      <c r="Q776" s="31"/>
      <c r="R776" s="31"/>
      <c r="T776" s="31"/>
    </row>
    <row r="777" spans="16:20" ht="12.75" x14ac:dyDescent="0.2">
      <c r="P777" s="31"/>
      <c r="Q777" s="31"/>
      <c r="R777" s="31"/>
      <c r="T777" s="31"/>
    </row>
    <row r="778" spans="16:20" ht="12.75" x14ac:dyDescent="0.2">
      <c r="P778" s="31"/>
      <c r="Q778" s="31"/>
      <c r="R778" s="31"/>
      <c r="T778" s="31"/>
    </row>
    <row r="779" spans="16:20" ht="12.75" x14ac:dyDescent="0.2">
      <c r="P779" s="31"/>
      <c r="Q779" s="31"/>
      <c r="R779" s="31"/>
      <c r="T779" s="31"/>
    </row>
    <row r="780" spans="16:20" ht="12.75" x14ac:dyDescent="0.2">
      <c r="P780" s="31"/>
      <c r="Q780" s="31"/>
      <c r="R780" s="31"/>
      <c r="T780" s="31"/>
    </row>
    <row r="781" spans="16:20" ht="12.75" x14ac:dyDescent="0.2">
      <c r="P781" s="31"/>
      <c r="Q781" s="31"/>
      <c r="R781" s="31"/>
      <c r="T781" s="31"/>
    </row>
    <row r="782" spans="16:20" ht="12.75" x14ac:dyDescent="0.2">
      <c r="P782" s="31"/>
      <c r="Q782" s="31"/>
      <c r="R782" s="31"/>
      <c r="T782" s="31"/>
    </row>
    <row r="783" spans="16:20" ht="12.75" x14ac:dyDescent="0.2">
      <c r="P783" s="31"/>
      <c r="Q783" s="31"/>
      <c r="R783" s="31"/>
      <c r="T783" s="31"/>
    </row>
    <row r="784" spans="16:20" ht="12.75" x14ac:dyDescent="0.2">
      <c r="P784" s="31"/>
      <c r="Q784" s="31"/>
      <c r="R784" s="31"/>
      <c r="T784" s="31"/>
    </row>
    <row r="785" spans="16:20" ht="12.75" x14ac:dyDescent="0.2">
      <c r="P785" s="31"/>
      <c r="Q785" s="31"/>
      <c r="R785" s="31"/>
      <c r="T785" s="31"/>
    </row>
    <row r="786" spans="16:20" ht="12.75" x14ac:dyDescent="0.2">
      <c r="P786" s="31"/>
      <c r="Q786" s="31"/>
      <c r="R786" s="31"/>
      <c r="T786" s="31"/>
    </row>
    <row r="787" spans="16:20" ht="12.75" x14ac:dyDescent="0.2">
      <c r="P787" s="31"/>
      <c r="Q787" s="31"/>
      <c r="R787" s="31"/>
      <c r="T787" s="31"/>
    </row>
    <row r="788" spans="16:20" ht="12.75" x14ac:dyDescent="0.2">
      <c r="P788" s="31"/>
      <c r="Q788" s="31"/>
      <c r="R788" s="31"/>
      <c r="T788" s="31"/>
    </row>
    <row r="789" spans="16:20" ht="12.75" x14ac:dyDescent="0.2">
      <c r="P789" s="31"/>
      <c r="Q789" s="31"/>
      <c r="R789" s="31"/>
      <c r="T789" s="31"/>
    </row>
    <row r="790" spans="16:20" ht="12.75" x14ac:dyDescent="0.2">
      <c r="P790" s="31"/>
      <c r="Q790" s="31"/>
      <c r="R790" s="31"/>
      <c r="T790" s="31"/>
    </row>
    <row r="791" spans="16:20" ht="12.75" x14ac:dyDescent="0.2">
      <c r="P791" s="31"/>
      <c r="Q791" s="31"/>
      <c r="R791" s="31"/>
      <c r="T791" s="31"/>
    </row>
    <row r="792" spans="16:20" ht="12.75" x14ac:dyDescent="0.2">
      <c r="P792" s="31"/>
      <c r="Q792" s="31"/>
      <c r="R792" s="31"/>
      <c r="T792" s="31"/>
    </row>
    <row r="793" spans="16:20" ht="12.75" x14ac:dyDescent="0.2">
      <c r="P793" s="31"/>
      <c r="Q793" s="31"/>
      <c r="R793" s="31"/>
      <c r="T793" s="31"/>
    </row>
    <row r="794" spans="16:20" ht="12.75" x14ac:dyDescent="0.2">
      <c r="P794" s="31"/>
      <c r="Q794" s="31"/>
      <c r="R794" s="31"/>
      <c r="T794" s="31"/>
    </row>
    <row r="795" spans="16:20" ht="12.75" x14ac:dyDescent="0.2">
      <c r="P795" s="31"/>
      <c r="Q795" s="31"/>
      <c r="R795" s="31"/>
      <c r="T795" s="31"/>
    </row>
    <row r="796" spans="16:20" ht="12.75" x14ac:dyDescent="0.2">
      <c r="P796" s="31"/>
      <c r="Q796" s="31"/>
      <c r="R796" s="31"/>
      <c r="T796" s="31"/>
    </row>
    <row r="797" spans="16:20" ht="12.75" x14ac:dyDescent="0.2">
      <c r="P797" s="31"/>
      <c r="Q797" s="31"/>
      <c r="R797" s="31"/>
      <c r="T797" s="31"/>
    </row>
    <row r="798" spans="16:20" ht="12.75" x14ac:dyDescent="0.2">
      <c r="P798" s="31"/>
      <c r="Q798" s="31"/>
      <c r="R798" s="31"/>
      <c r="T798" s="31"/>
    </row>
    <row r="799" spans="16:20" ht="12.75" x14ac:dyDescent="0.2">
      <c r="P799" s="31"/>
      <c r="Q799" s="31"/>
      <c r="R799" s="31"/>
      <c r="T799" s="31"/>
    </row>
    <row r="800" spans="16:20" ht="12.75" x14ac:dyDescent="0.2">
      <c r="P800" s="31"/>
      <c r="Q800" s="31"/>
      <c r="R800" s="31"/>
      <c r="T800" s="31"/>
    </row>
    <row r="801" spans="16:20" ht="12.75" x14ac:dyDescent="0.2">
      <c r="P801" s="31"/>
      <c r="Q801" s="31"/>
      <c r="R801" s="31"/>
      <c r="T801" s="31"/>
    </row>
    <row r="802" spans="16:20" ht="12.75" x14ac:dyDescent="0.2">
      <c r="P802" s="31"/>
      <c r="Q802" s="31"/>
      <c r="R802" s="31"/>
      <c r="T802" s="31"/>
    </row>
    <row r="803" spans="16:20" ht="12.75" x14ac:dyDescent="0.2">
      <c r="P803" s="31"/>
      <c r="Q803" s="31"/>
      <c r="R803" s="31"/>
      <c r="T803" s="31"/>
    </row>
    <row r="804" spans="16:20" ht="12.75" x14ac:dyDescent="0.2">
      <c r="P804" s="31"/>
      <c r="Q804" s="31"/>
      <c r="R804" s="31"/>
      <c r="T804" s="31"/>
    </row>
    <row r="805" spans="16:20" ht="12.75" x14ac:dyDescent="0.2">
      <c r="P805" s="31"/>
      <c r="Q805" s="31"/>
      <c r="R805" s="31"/>
      <c r="T805" s="31"/>
    </row>
    <row r="806" spans="16:20" ht="12.75" x14ac:dyDescent="0.2">
      <c r="P806" s="31"/>
      <c r="Q806" s="31"/>
      <c r="R806" s="31"/>
      <c r="T806" s="31"/>
    </row>
    <row r="807" spans="16:20" ht="12.75" x14ac:dyDescent="0.2">
      <c r="P807" s="31"/>
      <c r="Q807" s="31"/>
      <c r="R807" s="31"/>
      <c r="T807" s="31"/>
    </row>
    <row r="808" spans="16:20" ht="12.75" x14ac:dyDescent="0.2">
      <c r="P808" s="31"/>
      <c r="Q808" s="31"/>
      <c r="R808" s="31"/>
      <c r="T808" s="31"/>
    </row>
    <row r="809" spans="16:20" ht="12.75" x14ac:dyDescent="0.2">
      <c r="P809" s="31"/>
      <c r="Q809" s="31"/>
      <c r="R809" s="31"/>
      <c r="T809" s="31"/>
    </row>
    <row r="810" spans="16:20" ht="12.75" x14ac:dyDescent="0.2">
      <c r="P810" s="31"/>
      <c r="Q810" s="31"/>
      <c r="R810" s="31"/>
      <c r="T810" s="31"/>
    </row>
    <row r="811" spans="16:20" ht="12.75" x14ac:dyDescent="0.2">
      <c r="P811" s="31"/>
      <c r="Q811" s="31"/>
      <c r="R811" s="31"/>
      <c r="T811" s="31"/>
    </row>
    <row r="812" spans="16:20" ht="12.75" x14ac:dyDescent="0.2">
      <c r="P812" s="31"/>
      <c r="Q812" s="31"/>
      <c r="R812" s="31"/>
      <c r="T812" s="31"/>
    </row>
    <row r="813" spans="16:20" ht="12.75" x14ac:dyDescent="0.2">
      <c r="P813" s="31"/>
      <c r="Q813" s="31"/>
      <c r="R813" s="31"/>
      <c r="T813" s="31"/>
    </row>
    <row r="814" spans="16:20" ht="12.75" x14ac:dyDescent="0.2">
      <c r="P814" s="31"/>
      <c r="Q814" s="31"/>
      <c r="R814" s="31"/>
      <c r="T814" s="31"/>
    </row>
    <row r="815" spans="16:20" ht="12.75" x14ac:dyDescent="0.2">
      <c r="P815" s="31"/>
      <c r="Q815" s="31"/>
      <c r="R815" s="31"/>
      <c r="T815" s="31"/>
    </row>
    <row r="816" spans="16:20" ht="12.75" x14ac:dyDescent="0.2">
      <c r="P816" s="31"/>
      <c r="Q816" s="31"/>
      <c r="R816" s="31"/>
      <c r="T816" s="31"/>
    </row>
    <row r="817" spans="16:20" ht="12.75" x14ac:dyDescent="0.2">
      <c r="P817" s="31"/>
      <c r="Q817" s="31"/>
      <c r="R817" s="31"/>
      <c r="T817" s="31"/>
    </row>
    <row r="818" spans="16:20" ht="12.75" x14ac:dyDescent="0.2">
      <c r="P818" s="31"/>
      <c r="Q818" s="31"/>
      <c r="R818" s="31"/>
      <c r="T818" s="31"/>
    </row>
    <row r="819" spans="16:20" ht="12.75" x14ac:dyDescent="0.2">
      <c r="P819" s="31"/>
      <c r="Q819" s="31"/>
      <c r="R819" s="31"/>
      <c r="T819" s="31"/>
    </row>
    <row r="820" spans="16:20" ht="12.75" x14ac:dyDescent="0.2">
      <c r="P820" s="31"/>
      <c r="Q820" s="31"/>
      <c r="R820" s="31"/>
      <c r="T820" s="31"/>
    </row>
    <row r="821" spans="16:20" ht="12.75" x14ac:dyDescent="0.2">
      <c r="P821" s="31"/>
      <c r="Q821" s="31"/>
      <c r="R821" s="31"/>
      <c r="T821" s="31"/>
    </row>
    <row r="822" spans="16:20" ht="12.75" x14ac:dyDescent="0.2">
      <c r="P822" s="31"/>
      <c r="Q822" s="31"/>
      <c r="R822" s="31"/>
      <c r="T822" s="31"/>
    </row>
    <row r="823" spans="16:20" ht="12.75" x14ac:dyDescent="0.2">
      <c r="P823" s="31"/>
      <c r="Q823" s="31"/>
      <c r="R823" s="31"/>
      <c r="T823" s="31"/>
    </row>
    <row r="824" spans="16:20" ht="12.75" x14ac:dyDescent="0.2">
      <c r="P824" s="31"/>
      <c r="Q824" s="31"/>
      <c r="R824" s="31"/>
      <c r="T824" s="31"/>
    </row>
    <row r="825" spans="16:20" ht="12.75" x14ac:dyDescent="0.2">
      <c r="P825" s="31"/>
      <c r="Q825" s="31"/>
      <c r="R825" s="31"/>
      <c r="T825" s="31"/>
    </row>
    <row r="826" spans="16:20" ht="12.75" x14ac:dyDescent="0.2">
      <c r="P826" s="31"/>
      <c r="Q826" s="31"/>
      <c r="R826" s="31"/>
      <c r="T826" s="31"/>
    </row>
    <row r="827" spans="16:20" ht="12.75" x14ac:dyDescent="0.2">
      <c r="P827" s="31"/>
      <c r="Q827" s="31"/>
      <c r="R827" s="31"/>
      <c r="T827" s="31"/>
    </row>
    <row r="828" spans="16:20" ht="12.75" x14ac:dyDescent="0.2">
      <c r="P828" s="31"/>
      <c r="Q828" s="31"/>
      <c r="R828" s="31"/>
      <c r="T828" s="31"/>
    </row>
    <row r="829" spans="16:20" ht="12.75" x14ac:dyDescent="0.2">
      <c r="P829" s="31"/>
      <c r="Q829" s="31"/>
      <c r="R829" s="31"/>
      <c r="T829" s="31"/>
    </row>
    <row r="830" spans="16:20" ht="12.75" x14ac:dyDescent="0.2">
      <c r="P830" s="31"/>
      <c r="Q830" s="31"/>
      <c r="R830" s="31"/>
      <c r="T830" s="31"/>
    </row>
    <row r="831" spans="16:20" ht="12.75" x14ac:dyDescent="0.2">
      <c r="P831" s="31"/>
      <c r="Q831" s="31"/>
      <c r="R831" s="31"/>
      <c r="T831" s="31"/>
    </row>
    <row r="832" spans="16:20" ht="12.75" x14ac:dyDescent="0.2">
      <c r="P832" s="31"/>
      <c r="Q832" s="31"/>
      <c r="R832" s="31"/>
      <c r="T832" s="31"/>
    </row>
    <row r="833" spans="16:20" ht="12.75" x14ac:dyDescent="0.2">
      <c r="P833" s="31"/>
      <c r="Q833" s="31"/>
      <c r="R833" s="31"/>
      <c r="T833" s="31"/>
    </row>
    <row r="834" spans="16:20" ht="12.75" x14ac:dyDescent="0.2">
      <c r="P834" s="31"/>
      <c r="Q834" s="31"/>
      <c r="R834" s="31"/>
      <c r="T834" s="31"/>
    </row>
    <row r="835" spans="16:20" ht="12.75" x14ac:dyDescent="0.2">
      <c r="P835" s="31"/>
      <c r="Q835" s="31"/>
      <c r="R835" s="31"/>
      <c r="T835" s="31"/>
    </row>
    <row r="836" spans="16:20" ht="12.75" x14ac:dyDescent="0.2">
      <c r="P836" s="31"/>
      <c r="Q836" s="31"/>
      <c r="R836" s="31"/>
      <c r="T836" s="31"/>
    </row>
    <row r="837" spans="16:20" ht="12.75" x14ac:dyDescent="0.2">
      <c r="P837" s="31"/>
      <c r="Q837" s="31"/>
      <c r="R837" s="31"/>
      <c r="T837" s="31"/>
    </row>
    <row r="838" spans="16:20" ht="12.75" x14ac:dyDescent="0.2">
      <c r="P838" s="31"/>
      <c r="Q838" s="31"/>
      <c r="R838" s="31"/>
      <c r="T838" s="31"/>
    </row>
    <row r="839" spans="16:20" ht="12.75" x14ac:dyDescent="0.2">
      <c r="P839" s="31"/>
      <c r="Q839" s="31"/>
      <c r="R839" s="31"/>
      <c r="T839" s="31"/>
    </row>
    <row r="840" spans="16:20" ht="12.75" x14ac:dyDescent="0.2">
      <c r="P840" s="31"/>
      <c r="Q840" s="31"/>
      <c r="R840" s="31"/>
      <c r="T840" s="31"/>
    </row>
    <row r="841" spans="16:20" ht="12.75" x14ac:dyDescent="0.2">
      <c r="P841" s="31"/>
      <c r="Q841" s="31"/>
      <c r="R841" s="31"/>
      <c r="T841" s="31"/>
    </row>
    <row r="842" spans="16:20" ht="12.75" x14ac:dyDescent="0.2">
      <c r="P842" s="31"/>
      <c r="Q842" s="31"/>
      <c r="R842" s="31"/>
      <c r="T842" s="31"/>
    </row>
    <row r="843" spans="16:20" ht="12.75" x14ac:dyDescent="0.2">
      <c r="P843" s="31"/>
      <c r="Q843" s="31"/>
      <c r="R843" s="31"/>
      <c r="T843" s="31"/>
    </row>
    <row r="844" spans="16:20" ht="12.75" x14ac:dyDescent="0.2">
      <c r="P844" s="31"/>
      <c r="Q844" s="31"/>
      <c r="R844" s="31"/>
      <c r="T844" s="31"/>
    </row>
    <row r="845" spans="16:20" ht="12.75" x14ac:dyDescent="0.2">
      <c r="P845" s="31"/>
      <c r="Q845" s="31"/>
      <c r="R845" s="31"/>
      <c r="T845" s="31"/>
    </row>
    <row r="846" spans="16:20" ht="12.75" x14ac:dyDescent="0.2">
      <c r="P846" s="31"/>
      <c r="Q846" s="31"/>
      <c r="R846" s="31"/>
      <c r="T846" s="31"/>
    </row>
    <row r="847" spans="16:20" ht="12.75" x14ac:dyDescent="0.2">
      <c r="P847" s="31"/>
      <c r="Q847" s="31"/>
      <c r="R847" s="31"/>
      <c r="T847" s="31"/>
    </row>
    <row r="848" spans="16:20" ht="12.75" x14ac:dyDescent="0.2">
      <c r="P848" s="31"/>
      <c r="Q848" s="31"/>
      <c r="R848" s="31"/>
      <c r="T848" s="31"/>
    </row>
    <row r="849" spans="16:20" ht="12.75" x14ac:dyDescent="0.2">
      <c r="P849" s="31"/>
      <c r="Q849" s="31"/>
      <c r="R849" s="31"/>
      <c r="T849" s="31"/>
    </row>
    <row r="850" spans="16:20" ht="12.75" x14ac:dyDescent="0.2">
      <c r="P850" s="31"/>
      <c r="Q850" s="31"/>
      <c r="R850" s="31"/>
      <c r="T850" s="31"/>
    </row>
    <row r="851" spans="16:20" ht="12.75" x14ac:dyDescent="0.2">
      <c r="P851" s="31"/>
      <c r="Q851" s="31"/>
      <c r="R851" s="31"/>
      <c r="T851" s="31"/>
    </row>
    <row r="852" spans="16:20" ht="12.75" x14ac:dyDescent="0.2">
      <c r="P852" s="31"/>
      <c r="Q852" s="31"/>
      <c r="R852" s="31"/>
      <c r="T852" s="31"/>
    </row>
    <row r="853" spans="16:20" ht="12.75" x14ac:dyDescent="0.2">
      <c r="P853" s="31"/>
      <c r="Q853" s="31"/>
      <c r="R853" s="31"/>
      <c r="T853" s="31"/>
    </row>
    <row r="854" spans="16:20" ht="12.75" x14ac:dyDescent="0.2">
      <c r="P854" s="31"/>
      <c r="Q854" s="31"/>
      <c r="R854" s="31"/>
      <c r="T854" s="31"/>
    </row>
    <row r="855" spans="16:20" ht="12.75" x14ac:dyDescent="0.2">
      <c r="P855" s="31"/>
      <c r="Q855" s="31"/>
      <c r="R855" s="31"/>
      <c r="T855" s="31"/>
    </row>
    <row r="856" spans="16:20" ht="12.75" x14ac:dyDescent="0.2">
      <c r="P856" s="31"/>
      <c r="Q856" s="31"/>
      <c r="R856" s="31"/>
      <c r="T856" s="31"/>
    </row>
    <row r="857" spans="16:20" ht="12.75" x14ac:dyDescent="0.2">
      <c r="P857" s="31"/>
      <c r="Q857" s="31"/>
      <c r="R857" s="31"/>
      <c r="T857" s="31"/>
    </row>
    <row r="858" spans="16:20" ht="12.75" x14ac:dyDescent="0.2">
      <c r="P858" s="31"/>
      <c r="Q858" s="31"/>
      <c r="R858" s="31"/>
      <c r="T858" s="31"/>
    </row>
    <row r="859" spans="16:20" ht="12.75" x14ac:dyDescent="0.2">
      <c r="P859" s="31"/>
      <c r="Q859" s="31"/>
      <c r="R859" s="31"/>
      <c r="T859" s="31"/>
    </row>
    <row r="860" spans="16:20" ht="12.75" x14ac:dyDescent="0.2">
      <c r="P860" s="31"/>
      <c r="Q860" s="31"/>
      <c r="R860" s="31"/>
      <c r="T860" s="31"/>
    </row>
    <row r="861" spans="16:20" ht="12.75" x14ac:dyDescent="0.2">
      <c r="P861" s="31"/>
      <c r="Q861" s="31"/>
      <c r="R861" s="31"/>
      <c r="T861" s="31"/>
    </row>
    <row r="862" spans="16:20" ht="12.75" x14ac:dyDescent="0.2">
      <c r="P862" s="31"/>
      <c r="Q862" s="31"/>
      <c r="R862" s="31"/>
      <c r="T862" s="31"/>
    </row>
    <row r="863" spans="16:20" ht="12.75" x14ac:dyDescent="0.2">
      <c r="P863" s="31"/>
      <c r="Q863" s="31"/>
      <c r="R863" s="31"/>
      <c r="T863" s="31"/>
    </row>
    <row r="864" spans="16:20" ht="12.75" x14ac:dyDescent="0.2">
      <c r="P864" s="31"/>
      <c r="Q864" s="31"/>
      <c r="R864" s="31"/>
      <c r="T864" s="31"/>
    </row>
    <row r="865" spans="16:20" ht="12.75" x14ac:dyDescent="0.2">
      <c r="P865" s="31"/>
      <c r="Q865" s="31"/>
      <c r="R865" s="31"/>
      <c r="T865" s="31"/>
    </row>
    <row r="866" spans="16:20" ht="12.75" x14ac:dyDescent="0.2">
      <c r="P866" s="31"/>
      <c r="Q866" s="31"/>
      <c r="R866" s="31"/>
      <c r="T866" s="31"/>
    </row>
    <row r="867" spans="16:20" ht="12.75" x14ac:dyDescent="0.2">
      <c r="P867" s="31"/>
      <c r="Q867" s="31"/>
      <c r="R867" s="31"/>
      <c r="T867" s="31"/>
    </row>
    <row r="868" spans="16:20" ht="12.75" x14ac:dyDescent="0.2">
      <c r="P868" s="31"/>
      <c r="Q868" s="31"/>
      <c r="R868" s="31"/>
      <c r="T868" s="31"/>
    </row>
    <row r="869" spans="16:20" ht="12.75" x14ac:dyDescent="0.2">
      <c r="P869" s="31"/>
      <c r="Q869" s="31"/>
      <c r="R869" s="31"/>
      <c r="T869" s="31"/>
    </row>
    <row r="870" spans="16:20" ht="12.75" x14ac:dyDescent="0.2">
      <c r="P870" s="31"/>
      <c r="Q870" s="31"/>
      <c r="R870" s="31"/>
      <c r="T870" s="31"/>
    </row>
    <row r="871" spans="16:20" ht="12.75" x14ac:dyDescent="0.2">
      <c r="P871" s="31"/>
      <c r="Q871" s="31"/>
      <c r="R871" s="31"/>
      <c r="T871" s="31"/>
    </row>
    <row r="872" spans="16:20" ht="12.75" x14ac:dyDescent="0.2">
      <c r="P872" s="31"/>
      <c r="Q872" s="31"/>
      <c r="R872" s="31"/>
      <c r="T872" s="31"/>
    </row>
    <row r="873" spans="16:20" ht="12.75" x14ac:dyDescent="0.2">
      <c r="P873" s="31"/>
      <c r="Q873" s="31"/>
      <c r="R873" s="31"/>
      <c r="T873" s="31"/>
    </row>
    <row r="874" spans="16:20" ht="12.75" x14ac:dyDescent="0.2">
      <c r="P874" s="31"/>
      <c r="Q874" s="31"/>
      <c r="R874" s="31"/>
      <c r="T874" s="31"/>
    </row>
    <row r="875" spans="16:20" ht="12.75" x14ac:dyDescent="0.2">
      <c r="P875" s="31"/>
      <c r="Q875" s="31"/>
      <c r="R875" s="31"/>
      <c r="T875" s="31"/>
    </row>
    <row r="876" spans="16:20" ht="12.75" x14ac:dyDescent="0.2">
      <c r="P876" s="31"/>
      <c r="Q876" s="31"/>
      <c r="R876" s="31"/>
      <c r="T876" s="31"/>
    </row>
    <row r="877" spans="16:20" ht="12.75" x14ac:dyDescent="0.2">
      <c r="P877" s="31"/>
      <c r="Q877" s="31"/>
      <c r="R877" s="31"/>
      <c r="T877" s="31"/>
    </row>
    <row r="878" spans="16:20" ht="12.75" x14ac:dyDescent="0.2">
      <c r="P878" s="31"/>
      <c r="Q878" s="31"/>
      <c r="R878" s="31"/>
      <c r="T878" s="31"/>
    </row>
    <row r="879" spans="16:20" ht="12.75" x14ac:dyDescent="0.2">
      <c r="P879" s="31"/>
      <c r="Q879" s="31"/>
      <c r="R879" s="31"/>
      <c r="T879" s="31"/>
    </row>
    <row r="880" spans="16:20" ht="12.75" x14ac:dyDescent="0.2">
      <c r="P880" s="31"/>
      <c r="Q880" s="31"/>
      <c r="R880" s="31"/>
      <c r="T880" s="31"/>
    </row>
    <row r="881" spans="16:20" ht="12.75" x14ac:dyDescent="0.2">
      <c r="P881" s="31"/>
      <c r="Q881" s="31"/>
      <c r="R881" s="31"/>
      <c r="T881" s="31"/>
    </row>
    <row r="882" spans="16:20" ht="12.75" x14ac:dyDescent="0.2">
      <c r="P882" s="31"/>
      <c r="Q882" s="31"/>
      <c r="R882" s="31"/>
      <c r="T882" s="31"/>
    </row>
    <row r="883" spans="16:20" ht="12.75" x14ac:dyDescent="0.2">
      <c r="P883" s="31"/>
      <c r="Q883" s="31"/>
      <c r="R883" s="31"/>
      <c r="T883" s="31"/>
    </row>
    <row r="884" spans="16:20" ht="12.75" x14ac:dyDescent="0.2">
      <c r="P884" s="31"/>
      <c r="Q884" s="31"/>
      <c r="R884" s="31"/>
      <c r="T884" s="31"/>
    </row>
    <row r="885" spans="16:20" ht="12.75" x14ac:dyDescent="0.2">
      <c r="P885" s="31"/>
      <c r="Q885" s="31"/>
      <c r="R885" s="31"/>
      <c r="T885" s="31"/>
    </row>
    <row r="886" spans="16:20" ht="12.75" x14ac:dyDescent="0.2">
      <c r="P886" s="31"/>
      <c r="Q886" s="31"/>
      <c r="R886" s="31"/>
      <c r="T886" s="31"/>
    </row>
    <row r="887" spans="16:20" ht="12.75" x14ac:dyDescent="0.2">
      <c r="P887" s="31"/>
      <c r="Q887" s="31"/>
      <c r="R887" s="31"/>
      <c r="T887" s="31"/>
    </row>
    <row r="888" spans="16:20" ht="12.75" x14ac:dyDescent="0.2">
      <c r="P888" s="31"/>
      <c r="Q888" s="31"/>
      <c r="R888" s="31"/>
      <c r="T888" s="31"/>
    </row>
    <row r="889" spans="16:20" ht="12.75" x14ac:dyDescent="0.2">
      <c r="P889" s="31"/>
      <c r="Q889" s="31"/>
      <c r="R889" s="31"/>
      <c r="T889" s="31"/>
    </row>
    <row r="890" spans="16:20" ht="12.75" x14ac:dyDescent="0.2">
      <c r="P890" s="31"/>
      <c r="Q890" s="31"/>
      <c r="R890" s="31"/>
      <c r="T890" s="31"/>
    </row>
    <row r="891" spans="16:20" ht="12.75" x14ac:dyDescent="0.2">
      <c r="P891" s="31"/>
      <c r="Q891" s="31"/>
      <c r="R891" s="31"/>
      <c r="T891" s="31"/>
    </row>
    <row r="892" spans="16:20" ht="12.75" x14ac:dyDescent="0.2">
      <c r="P892" s="31"/>
      <c r="Q892" s="31"/>
      <c r="R892" s="31"/>
      <c r="T892" s="31"/>
    </row>
    <row r="893" spans="16:20" ht="12.75" x14ac:dyDescent="0.2">
      <c r="P893" s="31"/>
      <c r="Q893" s="31"/>
      <c r="R893" s="31"/>
      <c r="T893" s="31"/>
    </row>
    <row r="894" spans="16:20" ht="12.75" x14ac:dyDescent="0.2">
      <c r="P894" s="31"/>
      <c r="Q894" s="31"/>
      <c r="R894" s="31"/>
      <c r="T894" s="31"/>
    </row>
    <row r="895" spans="16:20" ht="12.75" x14ac:dyDescent="0.2">
      <c r="P895" s="31"/>
      <c r="Q895" s="31"/>
      <c r="R895" s="31"/>
      <c r="T895" s="31"/>
    </row>
    <row r="896" spans="16:20" ht="12.75" x14ac:dyDescent="0.2">
      <c r="P896" s="31"/>
      <c r="Q896" s="31"/>
      <c r="R896" s="31"/>
      <c r="T896" s="31"/>
    </row>
    <row r="897" spans="16:20" ht="12.75" x14ac:dyDescent="0.2">
      <c r="P897" s="31"/>
      <c r="Q897" s="31"/>
      <c r="R897" s="31"/>
      <c r="T897" s="31"/>
    </row>
    <row r="898" spans="16:20" ht="12.75" x14ac:dyDescent="0.2">
      <c r="P898" s="31"/>
      <c r="Q898" s="31"/>
      <c r="R898" s="31"/>
      <c r="T898" s="31"/>
    </row>
    <row r="899" spans="16:20" ht="12.75" x14ac:dyDescent="0.2">
      <c r="P899" s="31"/>
      <c r="Q899" s="31"/>
      <c r="R899" s="31"/>
      <c r="T899" s="31"/>
    </row>
    <row r="900" spans="16:20" ht="12.75" x14ac:dyDescent="0.2">
      <c r="P900" s="31"/>
      <c r="Q900" s="31"/>
      <c r="R900" s="31"/>
      <c r="T900" s="31"/>
    </row>
    <row r="901" spans="16:20" ht="12.75" x14ac:dyDescent="0.2">
      <c r="P901" s="31"/>
      <c r="Q901" s="31"/>
      <c r="R901" s="31"/>
      <c r="T901" s="31"/>
    </row>
    <row r="902" spans="16:20" ht="12.75" x14ac:dyDescent="0.2">
      <c r="P902" s="31"/>
      <c r="Q902" s="31"/>
      <c r="R902" s="31"/>
      <c r="T902" s="31"/>
    </row>
    <row r="903" spans="16:20" ht="12.75" x14ac:dyDescent="0.2">
      <c r="P903" s="31"/>
      <c r="Q903" s="31"/>
      <c r="R903" s="31"/>
      <c r="T903" s="31"/>
    </row>
    <row r="904" spans="16:20" ht="12.75" x14ac:dyDescent="0.2">
      <c r="P904" s="31"/>
      <c r="Q904" s="31"/>
      <c r="R904" s="31"/>
      <c r="T904" s="31"/>
    </row>
    <row r="905" spans="16:20" ht="12.75" x14ac:dyDescent="0.2">
      <c r="P905" s="31"/>
      <c r="Q905" s="31"/>
      <c r="R905" s="31"/>
      <c r="T905" s="31"/>
    </row>
    <row r="906" spans="16:20" ht="12.75" x14ac:dyDescent="0.2">
      <c r="P906" s="31"/>
      <c r="Q906" s="31"/>
      <c r="R906" s="31"/>
      <c r="T906" s="31"/>
    </row>
    <row r="907" spans="16:20" ht="12.75" x14ac:dyDescent="0.2">
      <c r="P907" s="31"/>
      <c r="Q907" s="31"/>
      <c r="R907" s="31"/>
      <c r="T907" s="31"/>
    </row>
    <row r="908" spans="16:20" ht="12.75" x14ac:dyDescent="0.2">
      <c r="P908" s="31"/>
      <c r="Q908" s="31"/>
      <c r="R908" s="31"/>
      <c r="T908" s="31"/>
    </row>
    <row r="909" spans="16:20" ht="12.75" x14ac:dyDescent="0.2">
      <c r="P909" s="31"/>
      <c r="Q909" s="31"/>
      <c r="R909" s="31"/>
      <c r="T909" s="31"/>
    </row>
    <row r="910" spans="16:20" ht="12.75" x14ac:dyDescent="0.2">
      <c r="P910" s="31"/>
      <c r="Q910" s="31"/>
      <c r="R910" s="31"/>
      <c r="T910" s="31"/>
    </row>
    <row r="911" spans="16:20" ht="12.75" x14ac:dyDescent="0.2">
      <c r="P911" s="31"/>
      <c r="Q911" s="31"/>
      <c r="R911" s="31"/>
      <c r="T911" s="31"/>
    </row>
    <row r="912" spans="16:20" ht="12.75" x14ac:dyDescent="0.2">
      <c r="P912" s="31"/>
      <c r="Q912" s="31"/>
      <c r="R912" s="31"/>
      <c r="T912" s="31"/>
    </row>
    <row r="913" spans="16:20" ht="12.75" x14ac:dyDescent="0.2">
      <c r="P913" s="31"/>
      <c r="Q913" s="31"/>
      <c r="R913" s="31"/>
      <c r="T913" s="31"/>
    </row>
    <row r="914" spans="16:20" ht="12.75" x14ac:dyDescent="0.2">
      <c r="P914" s="31"/>
      <c r="Q914" s="31"/>
      <c r="R914" s="31"/>
      <c r="T914" s="31"/>
    </row>
    <row r="915" spans="16:20" ht="12.75" x14ac:dyDescent="0.2">
      <c r="P915" s="31"/>
      <c r="Q915" s="31"/>
      <c r="R915" s="31"/>
      <c r="T915" s="31"/>
    </row>
    <row r="916" spans="16:20" ht="12.75" x14ac:dyDescent="0.2">
      <c r="P916" s="31"/>
      <c r="Q916" s="31"/>
      <c r="R916" s="31"/>
      <c r="T916" s="31"/>
    </row>
    <row r="917" spans="16:20" ht="12.75" x14ac:dyDescent="0.2">
      <c r="P917" s="31"/>
      <c r="Q917" s="31"/>
      <c r="R917" s="31"/>
      <c r="T917" s="31"/>
    </row>
    <row r="918" spans="16:20" ht="12.75" x14ac:dyDescent="0.2">
      <c r="P918" s="31"/>
      <c r="Q918" s="31"/>
      <c r="R918" s="31"/>
      <c r="T918" s="31"/>
    </row>
    <row r="919" spans="16:20" ht="12.75" x14ac:dyDescent="0.2">
      <c r="P919" s="31"/>
      <c r="Q919" s="31"/>
      <c r="R919" s="31"/>
      <c r="T919" s="31"/>
    </row>
    <row r="920" spans="16:20" ht="12.75" x14ac:dyDescent="0.2">
      <c r="P920" s="31"/>
      <c r="Q920" s="31"/>
      <c r="R920" s="31"/>
      <c r="T920" s="31"/>
    </row>
    <row r="921" spans="16:20" ht="12.75" x14ac:dyDescent="0.2">
      <c r="P921" s="31"/>
      <c r="Q921" s="31"/>
      <c r="R921" s="31"/>
      <c r="T921" s="31"/>
    </row>
    <row r="922" spans="16:20" ht="12.75" x14ac:dyDescent="0.2">
      <c r="P922" s="31"/>
      <c r="Q922" s="31"/>
      <c r="R922" s="31"/>
      <c r="T922" s="31"/>
    </row>
    <row r="923" spans="16:20" ht="12.75" x14ac:dyDescent="0.2">
      <c r="P923" s="31"/>
      <c r="Q923" s="31"/>
      <c r="R923" s="31"/>
      <c r="T923" s="31"/>
    </row>
    <row r="924" spans="16:20" ht="12.75" x14ac:dyDescent="0.2">
      <c r="P924" s="31"/>
      <c r="Q924" s="31"/>
      <c r="R924" s="31"/>
      <c r="T924" s="31"/>
    </row>
    <row r="925" spans="16:20" ht="12.75" x14ac:dyDescent="0.2">
      <c r="P925" s="31"/>
      <c r="Q925" s="31"/>
      <c r="R925" s="31"/>
      <c r="T925" s="31"/>
    </row>
    <row r="926" spans="16:20" ht="12.75" x14ac:dyDescent="0.2">
      <c r="P926" s="31"/>
      <c r="Q926" s="31"/>
      <c r="R926" s="31"/>
      <c r="T926" s="31"/>
    </row>
    <row r="927" spans="16:20" ht="12.75" x14ac:dyDescent="0.2">
      <c r="P927" s="31"/>
      <c r="Q927" s="31"/>
      <c r="R927" s="31"/>
      <c r="T927" s="31"/>
    </row>
    <row r="928" spans="16:20" ht="12.75" x14ac:dyDescent="0.2">
      <c r="P928" s="31"/>
      <c r="Q928" s="31"/>
      <c r="R928" s="31"/>
      <c r="T928" s="31"/>
    </row>
    <row r="929" spans="16:20" ht="12.75" x14ac:dyDescent="0.2">
      <c r="P929" s="31"/>
      <c r="Q929" s="31"/>
      <c r="R929" s="31"/>
      <c r="T929" s="31"/>
    </row>
    <row r="930" spans="16:20" ht="12.75" x14ac:dyDescent="0.2">
      <c r="P930" s="31"/>
      <c r="Q930" s="31"/>
      <c r="R930" s="31"/>
      <c r="T930" s="31"/>
    </row>
    <row r="931" spans="16:20" ht="12.75" x14ac:dyDescent="0.2">
      <c r="P931" s="31"/>
      <c r="Q931" s="31"/>
      <c r="R931" s="31"/>
      <c r="T931" s="31"/>
    </row>
    <row r="932" spans="16:20" ht="12.75" x14ac:dyDescent="0.2">
      <c r="P932" s="31"/>
      <c r="Q932" s="31"/>
      <c r="R932" s="31"/>
      <c r="T932" s="31"/>
    </row>
    <row r="933" spans="16:20" ht="12.75" x14ac:dyDescent="0.2">
      <c r="P933" s="31"/>
      <c r="Q933" s="31"/>
      <c r="R933" s="31"/>
      <c r="T933" s="31"/>
    </row>
    <row r="934" spans="16:20" ht="12.75" x14ac:dyDescent="0.2">
      <c r="P934" s="31"/>
      <c r="Q934" s="31"/>
      <c r="R934" s="31"/>
      <c r="T934" s="31"/>
    </row>
    <row r="935" spans="16:20" ht="12.75" x14ac:dyDescent="0.2">
      <c r="P935" s="31"/>
      <c r="Q935" s="31"/>
      <c r="R935" s="31"/>
      <c r="T935" s="31"/>
    </row>
    <row r="936" spans="16:20" ht="12.75" x14ac:dyDescent="0.2">
      <c r="P936" s="31"/>
      <c r="Q936" s="31"/>
      <c r="R936" s="31"/>
      <c r="T936" s="31"/>
    </row>
    <row r="937" spans="16:20" ht="12.75" x14ac:dyDescent="0.2">
      <c r="P937" s="31"/>
      <c r="Q937" s="31"/>
      <c r="R937" s="31"/>
      <c r="T937" s="31"/>
    </row>
    <row r="938" spans="16:20" ht="12.75" x14ac:dyDescent="0.2">
      <c r="P938" s="31"/>
      <c r="Q938" s="31"/>
      <c r="R938" s="31"/>
      <c r="T938" s="31"/>
    </row>
    <row r="939" spans="16:20" ht="12.75" x14ac:dyDescent="0.2">
      <c r="P939" s="31"/>
      <c r="Q939" s="31"/>
      <c r="R939" s="31"/>
      <c r="T939" s="31"/>
    </row>
    <row r="940" spans="16:20" ht="12.75" x14ac:dyDescent="0.2">
      <c r="P940" s="31"/>
      <c r="Q940" s="31"/>
      <c r="R940" s="31"/>
      <c r="T940" s="31"/>
    </row>
    <row r="941" spans="16:20" ht="12.75" x14ac:dyDescent="0.2">
      <c r="P941" s="31"/>
      <c r="Q941" s="31"/>
      <c r="R941" s="31"/>
      <c r="T941" s="31"/>
    </row>
    <row r="942" spans="16:20" ht="12.75" x14ac:dyDescent="0.2">
      <c r="P942" s="31"/>
      <c r="Q942" s="31"/>
      <c r="R942" s="31"/>
      <c r="T942" s="31"/>
    </row>
    <row r="943" spans="16:20" ht="12.75" x14ac:dyDescent="0.2">
      <c r="P943" s="31"/>
      <c r="Q943" s="31"/>
      <c r="R943" s="31"/>
      <c r="T943" s="31"/>
    </row>
    <row r="944" spans="16:20" ht="12.75" x14ac:dyDescent="0.2">
      <c r="P944" s="31"/>
      <c r="Q944" s="31"/>
      <c r="R944" s="31"/>
      <c r="T944" s="31"/>
    </row>
    <row r="945" spans="16:20" ht="12.75" x14ac:dyDescent="0.2">
      <c r="P945" s="31"/>
      <c r="Q945" s="31"/>
      <c r="R945" s="31"/>
      <c r="T945" s="31"/>
    </row>
    <row r="946" spans="16:20" ht="12.75" x14ac:dyDescent="0.2">
      <c r="P946" s="31"/>
      <c r="Q946" s="31"/>
      <c r="R946" s="31"/>
      <c r="T946" s="31"/>
    </row>
    <row r="947" spans="16:20" ht="12.75" x14ac:dyDescent="0.2">
      <c r="P947" s="31"/>
      <c r="Q947" s="31"/>
      <c r="R947" s="31"/>
      <c r="T947" s="31"/>
    </row>
    <row r="948" spans="16:20" ht="12.75" x14ac:dyDescent="0.2">
      <c r="P948" s="31"/>
      <c r="Q948" s="31"/>
      <c r="R948" s="31"/>
      <c r="T948" s="31"/>
    </row>
    <row r="949" spans="16:20" ht="12.75" x14ac:dyDescent="0.2">
      <c r="P949" s="31"/>
      <c r="Q949" s="31"/>
      <c r="R949" s="31"/>
      <c r="T949" s="31"/>
    </row>
    <row r="950" spans="16:20" ht="12.75" x14ac:dyDescent="0.2">
      <c r="P950" s="31"/>
      <c r="Q950" s="31"/>
      <c r="R950" s="31"/>
      <c r="T950" s="31"/>
    </row>
    <row r="951" spans="16:20" ht="12.75" x14ac:dyDescent="0.2">
      <c r="P951" s="31"/>
      <c r="Q951" s="31"/>
      <c r="R951" s="31"/>
      <c r="T951" s="31"/>
    </row>
    <row r="952" spans="16:20" ht="12.75" x14ac:dyDescent="0.2">
      <c r="P952" s="31"/>
      <c r="Q952" s="31"/>
      <c r="R952" s="31"/>
      <c r="T952" s="31"/>
    </row>
    <row r="953" spans="16:20" ht="12.75" x14ac:dyDescent="0.2">
      <c r="P953" s="31"/>
      <c r="Q953" s="31"/>
      <c r="R953" s="31"/>
      <c r="T953" s="31"/>
    </row>
    <row r="954" spans="16:20" ht="12.75" x14ac:dyDescent="0.2">
      <c r="P954" s="31"/>
      <c r="Q954" s="31"/>
      <c r="R954" s="31"/>
      <c r="T954" s="31"/>
    </row>
    <row r="955" spans="16:20" ht="12.75" x14ac:dyDescent="0.2">
      <c r="P955" s="31"/>
      <c r="Q955" s="31"/>
      <c r="R955" s="31"/>
      <c r="T955" s="31"/>
    </row>
  </sheetData>
  <autoFilter ref="A1:W163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2022-2</vt:lpstr>
      <vt:lpstr>TEORICO - PRACTICOS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 General</dc:creator>
  <cp:lastModifiedBy>Marlio Bedoya Cardoso</cp:lastModifiedBy>
  <dcterms:created xsi:type="dcterms:W3CDTF">2022-10-25T14:26:17Z</dcterms:created>
  <dcterms:modified xsi:type="dcterms:W3CDTF">2025-10-01T12:37:41Z</dcterms:modified>
</cp:coreProperties>
</file>